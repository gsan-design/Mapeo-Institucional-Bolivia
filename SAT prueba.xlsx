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ela\Downloads\"/>
    </mc:Choice>
  </mc:AlternateContent>
  <xr:revisionPtr revIDLastSave="0" documentId="8_{2D8FDD88-CB0B-483D-AD61-30DBD1DE6971}" xr6:coauthVersionLast="47" xr6:coauthVersionMax="47" xr10:uidLastSave="{00000000-0000-0000-0000-000000000000}"/>
  <bookViews>
    <workbookView xWindow="30" yWindow="390" windowWidth="20460" windowHeight="10920" xr2:uid="{00000000-000D-0000-FFFF-FFFF00000000}"/>
  </bookViews>
  <sheets>
    <sheet name="Mapeo v3" sheetId="4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" i="4" l="1"/>
  <c r="AG12" i="4"/>
  <c r="AH8" i="4"/>
  <c r="AG8" i="4"/>
  <c r="AH5" i="4"/>
  <c r="AG5" i="4"/>
  <c r="AH2" i="4"/>
  <c r="AG2" i="4"/>
</calcChain>
</file>

<file path=xl/sharedStrings.xml><?xml version="1.0" encoding="utf-8"?>
<sst xmlns="http://schemas.openxmlformats.org/spreadsheetml/2006/main" count="118" uniqueCount="111">
  <si>
    <t>Nombre del programa o instrumento</t>
  </si>
  <si>
    <t>Período de implementación</t>
  </si>
  <si>
    <t>Descripción</t>
  </si>
  <si>
    <t>Categoría principal de intervención</t>
  </si>
  <si>
    <t>Categoría(s) secundaria(s) de intervención</t>
  </si>
  <si>
    <t>Hipótesis</t>
  </si>
  <si>
    <t>Instrumentos o herramientas</t>
  </si>
  <si>
    <t>Subcategoría de intervención</t>
  </si>
  <si>
    <t>Institución ejecutora</t>
  </si>
  <si>
    <t>Año de creación</t>
  </si>
  <si>
    <t>Años de antiguedad (vs creación)</t>
  </si>
  <si>
    <t>Columna 1</t>
  </si>
  <si>
    <t>Tipo de intervención</t>
  </si>
  <si>
    <t>Estado actual</t>
  </si>
  <si>
    <t>Tipo de instrumento</t>
  </si>
  <si>
    <t>Mecanismo de entrega</t>
  </si>
  <si>
    <t>Requisitos de acceso</t>
  </si>
  <si>
    <t>Población empresarial</t>
  </si>
  <si>
    <t>Grado de formalidad requerido</t>
  </si>
  <si>
    <t>Sector económico</t>
  </si>
  <si>
    <t>Territorio</t>
  </si>
  <si>
    <t>Enfoque de género</t>
  </si>
  <si>
    <t>Indicadores previstos</t>
  </si>
  <si>
    <t>Número de beneficiarios (Efectivo)</t>
  </si>
  <si>
    <t>Moneda (Presupuesto)</t>
  </si>
  <si>
    <t>Presupuesto asignado</t>
  </si>
  <si>
    <t>Moneda (Costo por beneficiario)</t>
  </si>
  <si>
    <t>Costo por beneficiario</t>
  </si>
  <si>
    <t>Fuente de financiamiento</t>
  </si>
  <si>
    <t>Productos entregados</t>
  </si>
  <si>
    <t>Lecciones aprendidas</t>
  </si>
  <si>
    <t>SAT (Servicio Asistencia Técnica)</t>
  </si>
  <si>
    <t>Problema (genérico) que busca resolver</t>
  </si>
  <si>
    <t>Hipótesis (genérica)</t>
  </si>
  <si>
    <t>1997-2005</t>
  </si>
  <si>
    <t>Programa estatal de capacitación y asistencia técnica para micro y pequeñas empresas manufactureras y turísticas. Funcionó mediante un sistema de bonos que otorgaba libertad de elección al productor</t>
  </si>
  <si>
    <t>Asistencia técnica, incubación y fortalecimiento de capacidades</t>
  </si>
  <si>
    <t>Gestión empresarial y habilidades gerenciales deficientes: Existían marcadas debilidades en la capacidad gerencial, contable, administrativa y de mercado en los micro y pequeños empresarios y artesanos</t>
  </si>
  <si>
    <t xml:space="preserve">Al implementar un sistema de bonos subsidiados entregados directamente al microempresario, se le permite contratar capacitaciones en gestión y contabilidad a medida, adquiriendo competencias gerenciales directas
</t>
  </si>
  <si>
    <t>Sistema de Bonos subsidiados: Vouchers emitidos por el Estado para cofinanciar capacitaciones a demanda del productor</t>
  </si>
  <si>
    <t>Subvención a la demanda e incentivos individuales (Bonos / Vouchers)</t>
  </si>
  <si>
    <t>SAT (Entidad)</t>
  </si>
  <si>
    <t>Capacitación técnica</t>
  </si>
  <si>
    <t>Concluido</t>
  </si>
  <si>
    <t>Asistencia Técnica</t>
  </si>
  <si>
    <t>Sistema de bonos</t>
  </si>
  <si>
    <t>Micro y pequeños</t>
  </si>
  <si>
    <t>Micro y Pequeña</t>
  </si>
  <si>
    <t>Industrial y Turístico</t>
  </si>
  <si>
    <t>Nacional</t>
  </si>
  <si>
    <t>Participación femenina</t>
  </si>
  <si>
    <t>93.463 personas</t>
  </si>
  <si>
    <t>USD</t>
  </si>
  <si>
    <t>Créditos IDA / BID</t>
  </si>
  <si>
    <t>Consultoría especializada</t>
  </si>
  <si>
    <t>Los bonos dan libertad de elección al productor</t>
  </si>
  <si>
    <t xml:space="preserve">Sector Industrial Manufacturero, Micro/Pequeña Industria y Artesanía (Sector Secundario)
</t>
  </si>
  <si>
    <t>Registro de Instituciones de Capacitación (ICAPs): Padrón de consultores y centros privados acreditados</t>
  </si>
  <si>
    <t>Fortalecimiento de consultores e intermediarios (ICAPs y Cámaras)</t>
  </si>
  <si>
    <t>Programa "Mejorar": Módulo especializado en bonos para capacitación técnica en oficio y gestión</t>
  </si>
  <si>
    <t>Trámites y burocracia estatal: El sector industrial enfrentaba impedimentos burocráticos y procesos lentos que frenaban la modernización y la iniciativa empresarial</t>
  </si>
  <si>
    <t>Al desconcentrar operativamente los servicios e implementar un registro simplificado mediante Cédula Empresarial, se reducen los costos de transacción y tiempos administrativos para la modernización.</t>
  </si>
  <si>
    <t>Programa "Informar": Difusión institucional y ventanilla de atención al microempresario</t>
  </si>
  <si>
    <t>Cédula Empresarial: Acreditación única e identificación simplificada del beneficiario</t>
  </si>
  <si>
    <t>Marcas país, registro de origen y sello de producción nacional</t>
  </si>
  <si>
    <t>Oficinas Regionales Desconcentradas: Unidades territoriales operativas instaladas a nivel nacional</t>
  </si>
  <si>
    <t>Infraestructura productiva, logística y equipamiento físico</t>
  </si>
  <si>
    <t>Inexistencia de un mercado de servicios no financieros: Carecía un mercado transparente y competitivo de consultoría privada y capacitación adaptado a las demandas reales de las micro y pequeñas empresas</t>
  </si>
  <si>
    <t xml:space="preserve"> Al actuar como entidad pública de "tercer piso" que acredita e intermedia recursos hacia consultores privados e institutos (ICAPs), se estimula la oferta privada y competitiva de servicios empresariales.</t>
  </si>
  <si>
    <t>Mecanismo Institucional de Tercer Piso: Administración delegada donde el Estado norma y financia, mientras privados ejecutan</t>
  </si>
  <si>
    <t>Programa "Apoyo a la Oferta": Bonos para la actualización y certificación de consultores privados</t>
  </si>
  <si>
    <t>Improvisación y elevada mortalidad de negocios: Los emprendimientos nacían con visión de corto plazo y sin acompañamiento técnico, provocando la pérdida prematura de capital</t>
  </si>
  <si>
    <t>Al estructurar módulos secuenciales (Emprender, Mejorar, Innovar, Asociar), se acompaña al emprendedor con diagnósticos y planes de desarrollo de largo plazo que evitan la quiebra prematura.</t>
  </si>
  <si>
    <t>Programa "Emprender": Bonos de financiamiento para tutores dedicados al diseño del plan empresarial</t>
  </si>
  <si>
    <t>Programa "Innovar": Diagnóstico integral de producción, contabilidad y plan de desarrollo</t>
  </si>
  <si>
    <t>Programas "Asociar" y "Mercados": Bonos para diagnósticos asociativos, consorcios y participación en ferias</t>
  </si>
  <si>
    <t>Problema (específico del sector)</t>
  </si>
  <si>
    <t>Instrumento o herramienta</t>
  </si>
  <si>
    <t>Descripción de intrumento o herramienta</t>
  </si>
  <si>
    <t>Existían severas deficiencias en las habilidades gerenciales, administrativas, contables y de conocimiento de mercado en los empresarios industriales, microempresarios y artesanos</t>
  </si>
  <si>
    <t>Si se otorgan bonos subsidiados de capacitación y asesoramiento gerencial (a través de los módulos Mejorar e Innovar), el microempresario elegirá libremente la oferta de formación en gestión, contabilidad e instrumentos administrativos que mejor se adapte a su negocio, adoptando competencias gerenciales directas que profesionalicen su unidad económica</t>
  </si>
  <si>
    <t>Programa "Mejorar"</t>
  </si>
  <si>
    <t>Operaba mediante bonos de capacitación otorgados a los microempresarios para cofinanciar cursos a elección en áreas de gestión empresarial, contabilidad y administración técnica de sus oficios</t>
  </si>
  <si>
    <t>Las empresas manufactureras sufrían de baja eficiencia y falta de modernización en sus procesos productivos para adecuar la oferta a las exigencias del mercado interno y externo</t>
  </si>
  <si>
    <t>Si se cofinancian diagnósticos evaluativos de producción e innovación técnica en planta (Programa Innovar) impartidos por expertos privados, la MyPE identificará sus cuellos de botella tecnológicos y aplicará mejoras operativas y de calidad que elevarán su eficiencia y rendimiento productivo</t>
  </si>
  <si>
    <t>Programa "Innovar"</t>
  </si>
  <si>
    <t>Ofrecía apoyo para la elaboración de diagnósticos evaluativos de producción en planta, la formulación de un plan de desarrollo empresarial y el acceso a bonos de asistencia técnica contratados con expertos en el negocio</t>
  </si>
  <si>
    <t>Faltaba una oferta cualificada y transparente de servicios no financieros y consultoría técnica privada adaptada a las necesidades específicas de la micro y pequeña industria</t>
  </si>
  <si>
    <t>Si el Estado asume una función de entidad de "tercer piso" (normando, acreditando e intermediando recursos mediante el registro de ICAPs y el Programa Fortalecer la Oferta) en lugar de prestar servicios directamente, se estimulará la oferta privada de consultores e institutos técnicos, garantizando un mercado transparente, diverso y sostenible de servicios empresariales</t>
  </si>
  <si>
    <t>Programa "Fortalecer la Oferta" y Registro de ICAPs</t>
  </si>
  <si>
    <t>Mecanismo institucional donde el SAT actuaba como entidad de "tercer piso", creando un padrón oficial para la acreditación y registro de Instituciones y Consultores de Capacitación (ICAPs) privados, dinamizando la oferta técnica del mercado</t>
  </si>
  <si>
    <t>Las entidades públicas y privadas que prestaban servicios de desarrollo empresarial operaban con escasa eficiencia</t>
  </si>
  <si>
    <t>Si se transfiere la administración operativa de los servicios a entidades e institutos privados bajo un mecanismo de subsidio a la demanda por bonos/vouchers, se eliminará la ineficiencia burocrática estatal y la oferta de capacitación se ajustará dinámicamente a los requerimientos reales del mercado</t>
  </si>
  <si>
    <t>Sistema de Bonos o Vouchers Subsidiados</t>
  </si>
  <si>
    <t>Mecanismo de financiamiento donde el Estado no prestaba el servicio directamente, sino que entregaba bonos al productor para subsidiar parcialmente la contratación de servicios privados, introduciendo competencia y libertad de elección
.</t>
  </si>
  <si>
    <t xml:space="preserve"> Prevalecían barreras administrativas e impedimentos burocráticos que frenaban la creación de nuevas industrias y la modernización empresarial</t>
  </si>
  <si>
    <t xml:space="preserve">Si se implementa la Cédula Empresarial (Programa Informar) como acreditación única e identificación simplificada, combinada con la desconcentración en Unidades Operativas Desconcentradas a nivel departamental, se reducirán los tiempos de procesamiento y costos administrativos de transacción para acceder a los beneficios del Estado
</t>
  </si>
  <si>
    <t>Programa "Informar" y la Cédula Empresarial</t>
  </si>
  <si>
    <t xml:space="preserve">Acreditación e identificación simplificada que se otorgaba al microempresario para acceder ágilmente a los programas del SAT, complementado con la atención en Unidades Operativas Desconcentradas a nivel departamental
</t>
  </si>
  <si>
    <t>Existía un desempeño predominantemente individual entre los productores, lo que impedía la conformación de consorcios, cooperativas, subcontrataciones o esquemas de compras y ventas conjuntas</t>
  </si>
  <si>
    <t>Si se otorgan bonos para diagnósticos y planes de desarrollo asociativo (Programa Asociar), las MyPEs tendrán incentivos económicos directos para conformar consorcios, cooperativas, redes de subcontratación y esquemas de compras/ventas conjuntas, logrando economías de escala y mayor poder de negociación</t>
  </si>
  <si>
    <t xml:space="preserve">Programa "Asociar": </t>
  </si>
  <si>
    <t xml:space="preserve"> Financiaba la elaboración de diagnósticos y planes de desarrollo asociativo, otorgando bonos para apoyar compras/ventas conjuntas, creación de cooperativas, consorcios o redes de subcontratación
.</t>
  </si>
  <si>
    <t>Las MyPEs manufactureras enfrentaban barreras para comercializar sus bienes, desarrollar marcas, acceder a programas de promoción de exportaciones no tradicionales e integrarse en las cadenas productivas</t>
  </si>
  <si>
    <t>Si se cofinancian estudios de comercialización, diseño de marcas y participación en ferias comerciales (Programa Mercados / Ampliar Mercados), los pequeños productores desarrollarán canales de venta efectivos, adaptarán sus productos a la demanda del consumidor y se integrarán en cadenas de distribución locales e internacionales</t>
  </si>
  <si>
    <t>Programa "Mercados" (o "Ampliar Mercados")</t>
  </si>
  <si>
    <t>Otorgaba bonos y asistencia técnica especializada para diagnósticos comerciales, diseño de marcas, posicionamiento de productos y participación de las MyPEs en ferias comerciales
.</t>
  </si>
  <si>
    <t>Dificultades de acceso e inclusión de mujeres y jóvenes en la iniciativa empresarial industrial y artesanal</t>
  </si>
  <si>
    <t>Si se establece un esquema de acceso abierto para cualquier emprendedor mayor de 18 años acreditado y se cofinancia la capacitación en diversos oficios (confección, tejido, carpintería, metalmecánica), se logrará una inclusión masiva y equitativa de mujeres (superando el 60%) y jóvenes (alrededor del 20%) en la actividad productiva y en la generación de empleo</t>
  </si>
  <si>
    <t>Programa "Emprender" y Bonos de Capacitación Técnica en Oficios</t>
  </si>
  <si>
    <t>Esquema de bonos de formación accesible que financió masivamente cursos en talleres operados por privados en rubros como confección, tejido, carpintería y metalmecánica, registrando una alta participación de mujeres y jóvenes
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</si>
</sst>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" fontId="3" fillId="3" borderId="3" xfId="0" applyNumberFormat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0" fillId="3" borderId="3" xfId="0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left" vertical="top" wrapText="1"/>
    </xf>
    <xf numFmtId="0" fontId="5" fillId="4" borderId="1" xfId="0" applyFont="1" applyFill="1" applyBorder="1"/>
    <xf numFmtId="0" fontId="0" fillId="0" borderId="0" xfId="0"/>
    <xf numFmtId="0" fontId="5" fillId="3" borderId="1" xfId="0" applyFont="1" applyFill="1" applyBorder="1"/>
    <xf numFmtId="0" fontId="1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Mapeo v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ia de Hoja 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930"/>
  <sheetViews>
    <sheetView tabSelected="1" topLeftCell="G1" workbookViewId="0">
      <pane ySplit="1" topLeftCell="A2" activePane="bottomLeft" state="frozen"/>
      <selection pane="bottomLeft" activeCell="A2" sqref="A2:A12"/>
    </sheetView>
  </sheetViews>
  <sheetFormatPr baseColWidth="10" defaultColWidth="12.5703125" defaultRowHeight="15.75" customHeight="1" x14ac:dyDescent="0.2"/>
  <cols>
    <col min="1" max="1" width="25.42578125" customWidth="1"/>
    <col min="2" max="2" width="24.85546875" customWidth="1"/>
    <col min="3" max="4" width="25.42578125" customWidth="1"/>
    <col min="5" max="5" width="25.42578125" hidden="1" customWidth="1"/>
    <col min="6" max="7" width="38.85546875" customWidth="1"/>
    <col min="8" max="8" width="42.28515625" customWidth="1"/>
    <col min="9" max="9" width="40.7109375" customWidth="1"/>
    <col min="10" max="10" width="29.140625" customWidth="1"/>
    <col min="11" max="13" width="18.42578125" customWidth="1"/>
    <col min="14" max="39" width="12.5703125" hidden="1"/>
  </cols>
  <sheetData>
    <row r="1" spans="1:39" ht="64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32</v>
      </c>
      <c r="G1" s="2" t="s">
        <v>33</v>
      </c>
      <c r="H1" s="2" t="s">
        <v>6</v>
      </c>
      <c r="I1" s="3" t="s">
        <v>7</v>
      </c>
      <c r="J1" s="1" t="s">
        <v>19</v>
      </c>
      <c r="K1" s="1" t="s">
        <v>76</v>
      </c>
      <c r="L1" s="1" t="s">
        <v>5</v>
      </c>
      <c r="M1" s="1" t="s">
        <v>77</v>
      </c>
      <c r="N1" s="1" t="s">
        <v>78</v>
      </c>
      <c r="O1" s="1" t="s">
        <v>8</v>
      </c>
      <c r="P1" s="1" t="s">
        <v>9</v>
      </c>
      <c r="Q1" s="2" t="s">
        <v>10</v>
      </c>
      <c r="R1" s="4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AA1" s="1" t="s">
        <v>20</v>
      </c>
      <c r="AB1" s="1" t="s">
        <v>21</v>
      </c>
      <c r="AC1" s="1" t="s">
        <v>22</v>
      </c>
      <c r="AD1" s="1" t="s">
        <v>23</v>
      </c>
      <c r="AE1" s="2" t="s">
        <v>24</v>
      </c>
      <c r="AF1" s="1" t="s">
        <v>25</v>
      </c>
      <c r="AG1" s="2" t="s">
        <v>26</v>
      </c>
      <c r="AH1" s="2" t="s">
        <v>27</v>
      </c>
      <c r="AI1" s="1" t="s">
        <v>28</v>
      </c>
      <c r="AJ1" s="1" t="s">
        <v>29</v>
      </c>
      <c r="AK1" s="1" t="s">
        <v>30</v>
      </c>
      <c r="AL1" s="1"/>
      <c r="AM1" s="1"/>
    </row>
    <row r="2" spans="1:39" x14ac:dyDescent="0.2">
      <c r="A2" s="13" t="s">
        <v>31</v>
      </c>
      <c r="B2" s="17" t="s">
        <v>34</v>
      </c>
      <c r="C2" s="13" t="s">
        <v>35</v>
      </c>
      <c r="D2" s="18" t="s">
        <v>36</v>
      </c>
      <c r="E2" s="5"/>
      <c r="F2" s="13" t="s">
        <v>37</v>
      </c>
      <c r="G2" s="13" t="s">
        <v>38</v>
      </c>
      <c r="H2" s="5" t="s">
        <v>39</v>
      </c>
      <c r="I2" s="6" t="s">
        <v>40</v>
      </c>
      <c r="J2" s="13" t="s">
        <v>56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41</v>
      </c>
      <c r="P2" s="5">
        <v>1997</v>
      </c>
      <c r="Q2" s="5">
        <v>29</v>
      </c>
      <c r="R2" s="7"/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AA2" s="5" t="s">
        <v>49</v>
      </c>
      <c r="AB2" s="5" t="s">
        <v>50</v>
      </c>
      <c r="AC2" s="5"/>
      <c r="AD2" s="5" t="s">
        <v>51</v>
      </c>
      <c r="AE2" s="5" t="s">
        <v>52</v>
      </c>
      <c r="AF2" s="8">
        <v>16350000</v>
      </c>
      <c r="AG2" s="8" t="str">
        <f>AE2</f>
        <v>USD</v>
      </c>
      <c r="AH2" s="8">
        <f>5750000/93463</f>
        <v>61.521671677562246</v>
      </c>
      <c r="AI2" s="5" t="s">
        <v>53</v>
      </c>
      <c r="AJ2" s="5" t="s">
        <v>54</v>
      </c>
      <c r="AK2" s="5" t="s">
        <v>55</v>
      </c>
      <c r="AL2" s="5"/>
      <c r="AM2" s="5"/>
    </row>
    <row r="3" spans="1:39" x14ac:dyDescent="0.2">
      <c r="A3" s="15"/>
      <c r="B3" s="15"/>
      <c r="C3" s="15"/>
      <c r="D3" s="15"/>
      <c r="E3" s="5"/>
      <c r="F3" s="15"/>
      <c r="G3" s="15"/>
      <c r="H3" s="5" t="s">
        <v>57</v>
      </c>
      <c r="I3" s="6" t="s">
        <v>58</v>
      </c>
      <c r="J3" s="15"/>
      <c r="K3" s="5" t="s">
        <v>83</v>
      </c>
      <c r="L3" s="5" t="s">
        <v>84</v>
      </c>
      <c r="M3" s="5" t="s">
        <v>85</v>
      </c>
      <c r="N3" s="5" t="s">
        <v>86</v>
      </c>
      <c r="O3" s="5"/>
      <c r="P3" s="5"/>
      <c r="Q3" s="5"/>
      <c r="R3" s="7"/>
      <c r="S3" s="5"/>
      <c r="T3" s="5"/>
      <c r="U3" s="5"/>
      <c r="V3" s="5"/>
      <c r="W3" s="5"/>
      <c r="X3" s="5"/>
      <c r="Y3" s="5"/>
      <c r="AA3" s="5"/>
      <c r="AB3" s="5"/>
      <c r="AC3" s="5"/>
      <c r="AD3" s="5"/>
      <c r="AE3" s="5"/>
      <c r="AF3" s="8"/>
      <c r="AG3" s="8"/>
      <c r="AH3" s="8"/>
      <c r="AI3" s="5"/>
      <c r="AJ3" s="5"/>
      <c r="AK3" s="5"/>
      <c r="AL3" s="5"/>
      <c r="AM3" s="5"/>
    </row>
    <row r="4" spans="1:39" x14ac:dyDescent="0.2">
      <c r="A4" s="15"/>
      <c r="B4" s="15"/>
      <c r="C4" s="15"/>
      <c r="D4" s="15"/>
      <c r="E4" s="5"/>
      <c r="F4" s="16"/>
      <c r="G4" s="16"/>
      <c r="H4" s="5" t="s">
        <v>59</v>
      </c>
      <c r="I4" s="6" t="s">
        <v>40</v>
      </c>
      <c r="J4" s="15"/>
      <c r="K4" s="5" t="s">
        <v>87</v>
      </c>
      <c r="L4" s="5" t="s">
        <v>88</v>
      </c>
      <c r="M4" s="5" t="s">
        <v>89</v>
      </c>
      <c r="N4" s="5" t="s">
        <v>90</v>
      </c>
      <c r="O4" s="5"/>
      <c r="P4" s="5"/>
      <c r="Q4" s="5"/>
      <c r="R4" s="7"/>
      <c r="S4" s="5"/>
      <c r="T4" s="5"/>
      <c r="U4" s="5"/>
      <c r="V4" s="5"/>
      <c r="W4" s="5"/>
      <c r="X4" s="5"/>
      <c r="Y4" s="5"/>
      <c r="AA4" s="5"/>
      <c r="AB4" s="5"/>
      <c r="AC4" s="5"/>
      <c r="AD4" s="5"/>
      <c r="AE4" s="5"/>
      <c r="AF4" s="8"/>
      <c r="AG4" s="8"/>
      <c r="AH4" s="8"/>
      <c r="AI4" s="5"/>
      <c r="AJ4" s="5"/>
      <c r="AK4" s="5"/>
      <c r="AL4" s="5"/>
      <c r="AM4" s="5"/>
    </row>
    <row r="5" spans="1:39" x14ac:dyDescent="0.2">
      <c r="A5" s="15"/>
      <c r="B5" s="15"/>
      <c r="C5" s="15"/>
      <c r="D5" s="15"/>
      <c r="E5" s="5"/>
      <c r="F5" s="13" t="s">
        <v>60</v>
      </c>
      <c r="G5" s="13" t="s">
        <v>61</v>
      </c>
      <c r="H5" s="5" t="s">
        <v>62</v>
      </c>
      <c r="I5" s="6" t="s">
        <v>36</v>
      </c>
      <c r="J5" s="15"/>
      <c r="K5" s="5" t="s">
        <v>91</v>
      </c>
      <c r="L5" s="5" t="s">
        <v>92</v>
      </c>
      <c r="M5" s="5" t="s">
        <v>93</v>
      </c>
      <c r="N5" s="5" t="s">
        <v>94</v>
      </c>
      <c r="O5" s="5"/>
      <c r="P5" s="5"/>
      <c r="Q5" s="5"/>
      <c r="R5" s="7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8"/>
      <c r="AG5" s="8">
        <f>AE5</f>
        <v>0</v>
      </c>
      <c r="AH5" s="8">
        <f>5750000/93463</f>
        <v>61.521671677562246</v>
      </c>
      <c r="AI5" s="5"/>
      <c r="AJ5" s="5"/>
      <c r="AK5" s="5"/>
      <c r="AL5" s="5"/>
      <c r="AM5" s="5"/>
    </row>
    <row r="6" spans="1:39" x14ac:dyDescent="0.2">
      <c r="A6" s="15"/>
      <c r="B6" s="15"/>
      <c r="C6" s="15"/>
      <c r="D6" s="15"/>
      <c r="E6" s="10"/>
      <c r="F6" s="15"/>
      <c r="G6" s="15"/>
      <c r="H6" s="5" t="s">
        <v>63</v>
      </c>
      <c r="I6" s="6" t="s">
        <v>64</v>
      </c>
      <c r="J6" s="15"/>
      <c r="K6" s="5" t="s">
        <v>95</v>
      </c>
      <c r="L6" s="5" t="s">
        <v>96</v>
      </c>
      <c r="M6" s="5" t="s">
        <v>97</v>
      </c>
      <c r="N6" s="5" t="s">
        <v>98</v>
      </c>
      <c r="O6" s="5"/>
      <c r="P6" s="5"/>
      <c r="Q6" s="5"/>
      <c r="R6" s="7"/>
      <c r="S6" s="5"/>
      <c r="T6" s="5"/>
      <c r="U6" s="5"/>
      <c r="V6" s="5"/>
      <c r="W6" s="5"/>
      <c r="X6" s="5"/>
      <c r="Y6" s="5"/>
      <c r="AA6" s="5"/>
      <c r="AB6" s="5"/>
      <c r="AC6" s="5"/>
      <c r="AD6" s="5"/>
      <c r="AE6" s="5"/>
      <c r="AF6" s="8"/>
      <c r="AG6" s="8"/>
      <c r="AH6" s="8"/>
      <c r="AI6" s="5"/>
      <c r="AJ6" s="5"/>
      <c r="AK6" s="5"/>
      <c r="AL6" s="5"/>
      <c r="AM6" s="5"/>
    </row>
    <row r="7" spans="1:39" x14ac:dyDescent="0.2">
      <c r="A7" s="15"/>
      <c r="B7" s="15"/>
      <c r="C7" s="15"/>
      <c r="D7" s="15"/>
      <c r="E7" s="10"/>
      <c r="F7" s="14"/>
      <c r="G7" s="14"/>
      <c r="H7" s="5" t="s">
        <v>65</v>
      </c>
      <c r="I7" s="6" t="s">
        <v>66</v>
      </c>
      <c r="J7" s="15"/>
      <c r="K7" s="5" t="s">
        <v>99</v>
      </c>
      <c r="L7" s="5" t="s">
        <v>100</v>
      </c>
      <c r="M7" s="5" t="s">
        <v>101</v>
      </c>
      <c r="N7" s="5" t="s">
        <v>102</v>
      </c>
      <c r="O7" s="5"/>
      <c r="P7" s="5"/>
      <c r="Q7" s="5"/>
      <c r="R7" s="7"/>
      <c r="S7" s="5"/>
      <c r="T7" s="5"/>
      <c r="U7" s="5"/>
      <c r="V7" s="5"/>
      <c r="W7" s="5"/>
      <c r="X7" s="5"/>
      <c r="Y7" s="5"/>
      <c r="AA7" s="5"/>
      <c r="AB7" s="5"/>
      <c r="AC7" s="5"/>
      <c r="AD7" s="5"/>
      <c r="AE7" s="5"/>
      <c r="AF7" s="8"/>
      <c r="AG7" s="8"/>
      <c r="AH7" s="8"/>
      <c r="AI7" s="5"/>
      <c r="AJ7" s="5"/>
      <c r="AK7" s="5"/>
      <c r="AL7" s="5"/>
      <c r="AM7" s="5"/>
    </row>
    <row r="8" spans="1:39" x14ac:dyDescent="0.2">
      <c r="A8" s="15"/>
      <c r="B8" s="15"/>
      <c r="C8" s="15"/>
      <c r="D8" s="15"/>
      <c r="E8" s="5"/>
      <c r="F8" s="13" t="s">
        <v>67</v>
      </c>
      <c r="G8" s="13" t="s">
        <v>68</v>
      </c>
      <c r="H8" s="5" t="s">
        <v>69</v>
      </c>
      <c r="I8" s="6" t="s">
        <v>58</v>
      </c>
      <c r="J8" s="15"/>
      <c r="K8" s="5" t="s">
        <v>103</v>
      </c>
      <c r="L8" s="5" t="s">
        <v>104</v>
      </c>
      <c r="M8" s="5" t="s">
        <v>105</v>
      </c>
      <c r="N8" s="5" t="s">
        <v>106</v>
      </c>
      <c r="O8" s="5"/>
      <c r="P8" s="5"/>
      <c r="Q8" s="5"/>
      <c r="R8" s="7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8"/>
      <c r="AG8" s="8">
        <f>AE8</f>
        <v>0</v>
      </c>
      <c r="AH8" s="8">
        <f>5750000/93463</f>
        <v>61.521671677562246</v>
      </c>
      <c r="AI8" s="5"/>
      <c r="AJ8" s="5"/>
      <c r="AK8" s="5"/>
      <c r="AL8" s="5"/>
      <c r="AM8" s="5"/>
    </row>
    <row r="9" spans="1:39" x14ac:dyDescent="0.2">
      <c r="A9" s="15"/>
      <c r="B9" s="15"/>
      <c r="C9" s="15"/>
      <c r="D9" s="15"/>
      <c r="E9" s="5"/>
      <c r="F9" s="14"/>
      <c r="G9" s="14"/>
      <c r="H9" s="5" t="s">
        <v>70</v>
      </c>
      <c r="I9" s="6" t="s">
        <v>40</v>
      </c>
      <c r="J9" s="15"/>
      <c r="K9" s="5" t="s">
        <v>107</v>
      </c>
      <c r="L9" s="5" t="s">
        <v>108</v>
      </c>
      <c r="M9" s="5" t="s">
        <v>109</v>
      </c>
      <c r="N9" s="5" t="s">
        <v>110</v>
      </c>
      <c r="O9" s="5"/>
      <c r="P9" s="5"/>
      <c r="Q9" s="5"/>
      <c r="R9" s="7"/>
      <c r="S9" s="5"/>
      <c r="T9" s="5"/>
      <c r="U9" s="5"/>
      <c r="V9" s="5"/>
      <c r="W9" s="5"/>
      <c r="X9" s="5"/>
      <c r="Y9" s="5"/>
      <c r="AA9" s="5"/>
      <c r="AB9" s="5"/>
      <c r="AC9" s="5"/>
      <c r="AD9" s="5"/>
      <c r="AE9" s="5"/>
      <c r="AF9" s="8"/>
      <c r="AG9" s="8"/>
      <c r="AH9" s="8"/>
      <c r="AI9" s="5"/>
      <c r="AJ9" s="5"/>
      <c r="AK9" s="5"/>
      <c r="AL9" s="5"/>
      <c r="AM9" s="5"/>
    </row>
    <row r="10" spans="1:39" x14ac:dyDescent="0.2">
      <c r="A10" s="15"/>
      <c r="B10" s="15"/>
      <c r="C10" s="15"/>
      <c r="D10" s="15"/>
      <c r="E10" s="5"/>
      <c r="F10" s="13" t="s">
        <v>71</v>
      </c>
      <c r="G10" s="13" t="s">
        <v>72</v>
      </c>
      <c r="H10" s="5" t="s">
        <v>73</v>
      </c>
      <c r="I10" s="6" t="s">
        <v>40</v>
      </c>
      <c r="J10" s="9"/>
      <c r="K10" s="5"/>
      <c r="L10" s="5"/>
      <c r="M10" s="5"/>
      <c r="N10" s="5"/>
      <c r="O10" s="5"/>
      <c r="P10" s="5"/>
      <c r="Q10" s="5"/>
      <c r="R10" s="7"/>
      <c r="S10" s="5"/>
      <c r="T10" s="5"/>
      <c r="U10" s="5"/>
      <c r="V10" s="5"/>
      <c r="W10" s="5"/>
      <c r="X10" s="5"/>
      <c r="Y10" s="5"/>
      <c r="AA10" s="5"/>
      <c r="AB10" s="5"/>
      <c r="AC10" s="5"/>
      <c r="AD10" s="5"/>
      <c r="AE10" s="5"/>
      <c r="AF10" s="8"/>
      <c r="AG10" s="8"/>
      <c r="AH10" s="8"/>
      <c r="AI10" s="5"/>
      <c r="AJ10" s="5"/>
      <c r="AK10" s="5"/>
      <c r="AL10" s="5"/>
      <c r="AM10" s="5"/>
    </row>
    <row r="11" spans="1:39" x14ac:dyDescent="0.2">
      <c r="A11" s="15"/>
      <c r="B11" s="15"/>
      <c r="C11" s="15"/>
      <c r="D11" s="15"/>
      <c r="E11" s="5"/>
      <c r="F11" s="15"/>
      <c r="G11" s="15"/>
      <c r="H11" s="5" t="s">
        <v>74</v>
      </c>
      <c r="I11" s="6" t="s">
        <v>40</v>
      </c>
      <c r="J11" s="9"/>
      <c r="K11" s="5"/>
      <c r="L11" s="5"/>
      <c r="M11" s="5"/>
      <c r="N11" s="5"/>
      <c r="O11" s="5"/>
      <c r="P11" s="5"/>
      <c r="Q11" s="5"/>
      <c r="R11" s="7"/>
      <c r="S11" s="5"/>
      <c r="T11" s="5"/>
      <c r="U11" s="5"/>
      <c r="V11" s="5"/>
      <c r="W11" s="5"/>
      <c r="X11" s="5"/>
      <c r="Y11" s="5"/>
      <c r="AA11" s="5"/>
      <c r="AB11" s="5"/>
      <c r="AC11" s="5"/>
      <c r="AD11" s="5"/>
      <c r="AE11" s="5"/>
      <c r="AF11" s="8"/>
      <c r="AG11" s="8"/>
      <c r="AH11" s="8"/>
      <c r="AI11" s="5"/>
      <c r="AJ11" s="5"/>
      <c r="AK11" s="5"/>
      <c r="AL11" s="5"/>
      <c r="AM11" s="5"/>
    </row>
    <row r="12" spans="1:39" x14ac:dyDescent="0.2">
      <c r="A12" s="16"/>
      <c r="B12" s="16"/>
      <c r="C12" s="16"/>
      <c r="D12" s="16"/>
      <c r="E12" s="5"/>
      <c r="F12" s="16"/>
      <c r="G12" s="16"/>
      <c r="H12" s="5" t="s">
        <v>75</v>
      </c>
      <c r="I12" s="6" t="s">
        <v>40</v>
      </c>
      <c r="J12" s="11"/>
      <c r="K12" s="5"/>
      <c r="L12" s="5"/>
      <c r="M12" s="5"/>
      <c r="N12" s="5"/>
      <c r="O12" s="5"/>
      <c r="P12" s="5"/>
      <c r="Q12" s="5"/>
      <c r="R12" s="7"/>
      <c r="S12" s="5"/>
      <c r="T12" s="5"/>
      <c r="U12" s="5"/>
      <c r="V12" s="5"/>
      <c r="W12" s="5"/>
      <c r="X12" s="5"/>
      <c r="Y12" s="5"/>
      <c r="AA12" s="5"/>
      <c r="AB12" s="5"/>
      <c r="AC12" s="5"/>
      <c r="AD12" s="5"/>
      <c r="AE12" s="5"/>
      <c r="AF12" s="8"/>
      <c r="AG12" s="8">
        <f t="shared" ref="AG12" si="0">AE12</f>
        <v>0</v>
      </c>
      <c r="AH12" s="8">
        <f>5750000/93463</f>
        <v>61.521671677562246</v>
      </c>
      <c r="AI12" s="5"/>
      <c r="AJ12" s="5"/>
      <c r="AK12" s="5"/>
      <c r="AL12" s="5"/>
      <c r="AM12" s="5"/>
    </row>
    <row r="13" spans="1:39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3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pans="1:39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1:39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39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1:39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pans="1:39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pans="1:39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1:39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39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pans="1:39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pans="1:39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1:39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pans="1:39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pans="1:39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pans="1:39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1:39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1:39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1:39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pans="1:39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1:39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pans="1:39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pans="1:39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pans="1:39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pans="1:39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pans="1:39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pans="1:39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pans="1:39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1:39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pans="1:39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pans="1:39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pans="1:39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pans="1:39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pans="1:39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pans="1:39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pans="1:39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1:39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pans="1:39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pans="1:39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pans="1:39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1:39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pans="1:39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pans="1:39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pans="1:39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1:39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pans="1:39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1:39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pans="1:39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1:39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pans="1:39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pans="1:3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pans="1:3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1:3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pans="1:3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39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pans="1:3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1:39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pans="1:39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pans="1:39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pans="1:39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1:39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pans="1:39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pans="1:39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pans="1:39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1:39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pans="1:39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pans="1:39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pans="1:39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pans="1:39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pans="1:39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pans="1:39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pans="1:39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pans="1:39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pans="1:39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pans="1:39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pans="1:39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pans="1:39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pans="1:39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pans="1:39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pans="1:39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pans="1:39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pans="1:39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pans="1:39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pans="1:39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pans="1:39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pans="1:39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pans="1:39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pans="1:39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pans="1:39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pans="1:39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pans="1:39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pans="1:39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pans="1:39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pans="1:39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pans="1:39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pans="1:39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pans="1:39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pans="1:39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pans="1:39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pans="1:39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pans="1:39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pans="1:39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pans="1:39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pans="1:39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pans="1:39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pans="1:39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pans="1:39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pans="1:39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pans="1:39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pans="1:39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pans="1:39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pans="1:39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pans="1:39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pans="1:39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pans="1:39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pans="1:39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pans="1:39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pans="1:39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pans="1:39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pans="1:39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pans="1:39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pans="1:39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pans="1:39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pans="1:39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pans="1:39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pans="1:39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pans="1:39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pans="1:39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pans="1:39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pans="1:39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pans="1:39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pans="1:39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pans="1:39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pans="1:39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pans="1:39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pans="1:39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pans="1:39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pans="1:39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pans="1:39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pans="1:39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pans="1:39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pans="1:39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pans="1:39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pans="1:39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pans="1:39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pans="1:39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pans="1:39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pans="1:39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pans="1:39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pans="1:39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pans="1:39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pans="1:39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pans="1:39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pans="1:39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pans="1:39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pans="1:39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pans="1:39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pans="1:39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pans="1:39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pans="1:39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1:39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pans="1:39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pans="1:39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pans="1:39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pans="1:39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pans="1:39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pans="1:39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pans="1:39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pans="1:39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pans="1:39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pans="1:39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pans="1:39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pans="1:39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pans="1:39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pans="1:39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pans="1:39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pans="1:39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pans="1:39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pans="1:39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pans="1:39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pans="1:39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pans="1:39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pans="1:39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pans="1:39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pans="1:39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pans="1:39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pans="1:39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pans="1:39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pans="1:39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pans="1:39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pans="1:39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pans="1:39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pans="1:39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pans="1:39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pans="1:39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pans="1:39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pans="1:39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pans="1:39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pans="1:39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pans="1:39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pans="1:39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pans="1:39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pans="1:39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pans="1:39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pans="1:39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pans="1:39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pans="1:39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pans="1:39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pans="1:39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pans="1:39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pans="1:39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pans="1:39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pans="1:39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pans="1:39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pans="1:39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pans="1:39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pans="1:39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pans="1:39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pans="1:39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pans="1:39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pans="1:39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pans="1:39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pans="1:39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pans="1:39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pans="1:39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pans="1:39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pans="1:39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pans="1:39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pans="1:39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pans="1:39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pans="1:39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pans="1:39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pans="1:39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pans="1:39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pans="1:39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pans="1:39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pans="1:39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</row>
    <row r="278" spans="1:39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</row>
    <row r="279" spans="1:39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</row>
    <row r="280" spans="1:39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</row>
    <row r="281" spans="1:39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</row>
    <row r="282" spans="1:39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</row>
    <row r="283" spans="1:39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</row>
    <row r="284" spans="1:39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</row>
    <row r="285" spans="1:39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</row>
    <row r="286" spans="1:39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</row>
    <row r="287" spans="1:39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</row>
    <row r="288" spans="1:39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</row>
    <row r="289" spans="1:39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</row>
    <row r="290" spans="1:39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</row>
    <row r="291" spans="1:39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</row>
    <row r="292" spans="1:39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pans="1:39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pans="1:39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</row>
    <row r="295" spans="1:39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</row>
    <row r="296" spans="1:39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</row>
    <row r="297" spans="1:39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</row>
    <row r="298" spans="1:39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</row>
    <row r="299" spans="1:39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</row>
    <row r="300" spans="1:39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</row>
    <row r="301" spans="1:39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pans="1:39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pans="1:39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pans="1:39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pans="1:39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</row>
    <row r="306" spans="1:39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</row>
    <row r="307" spans="1:39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</row>
    <row r="308" spans="1:39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</row>
    <row r="309" spans="1:39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</row>
    <row r="310" spans="1:39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</row>
    <row r="311" spans="1:39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</row>
    <row r="312" spans="1:39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</row>
    <row r="313" spans="1:39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</row>
    <row r="314" spans="1:39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</row>
    <row r="315" spans="1:39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</row>
    <row r="316" spans="1:39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</row>
    <row r="317" spans="1:39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</row>
    <row r="318" spans="1:39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</row>
    <row r="319" spans="1:39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</row>
    <row r="320" spans="1:39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</row>
    <row r="321" spans="1:39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</row>
    <row r="322" spans="1:39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</row>
    <row r="323" spans="1:39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</row>
    <row r="324" spans="1:39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pans="1:39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</row>
    <row r="326" spans="1:39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</row>
    <row r="327" spans="1:39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</row>
    <row r="328" spans="1:39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</row>
    <row r="329" spans="1:39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</row>
    <row r="330" spans="1:39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</row>
    <row r="331" spans="1:39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</row>
    <row r="332" spans="1:39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</row>
    <row r="333" spans="1:39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</row>
    <row r="334" spans="1:39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</row>
    <row r="335" spans="1:39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</row>
    <row r="336" spans="1:39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</row>
    <row r="337" spans="1:39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</row>
    <row r="338" spans="1:39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</row>
    <row r="339" spans="1:39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</row>
    <row r="340" spans="1:39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</row>
    <row r="341" spans="1:39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</row>
    <row r="342" spans="1:39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</row>
    <row r="343" spans="1:39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</row>
    <row r="344" spans="1:39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</row>
    <row r="345" spans="1:39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</row>
    <row r="346" spans="1:39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</row>
    <row r="347" spans="1:39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</row>
    <row r="348" spans="1:39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</row>
    <row r="349" spans="1:39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</row>
    <row r="350" spans="1:39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</row>
    <row r="351" spans="1:39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</row>
    <row r="352" spans="1:39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</row>
    <row r="353" spans="1:39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</row>
    <row r="354" spans="1:39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</row>
    <row r="355" spans="1:39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pans="1:39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</row>
    <row r="357" spans="1:39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</row>
    <row r="358" spans="1:39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</row>
    <row r="359" spans="1:39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</row>
    <row r="360" spans="1:39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</row>
    <row r="361" spans="1:39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</row>
    <row r="362" spans="1:39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</row>
    <row r="363" spans="1:39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</row>
    <row r="364" spans="1:39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</row>
    <row r="365" spans="1:39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</row>
    <row r="366" spans="1:39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pans="1:39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</row>
    <row r="368" spans="1:39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</row>
    <row r="369" spans="1:39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</row>
    <row r="370" spans="1:39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</row>
    <row r="371" spans="1:39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</row>
    <row r="372" spans="1:39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</row>
    <row r="373" spans="1:39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</row>
    <row r="374" spans="1:39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</row>
    <row r="375" spans="1:39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</row>
    <row r="376" spans="1:39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</row>
    <row r="377" spans="1:39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</row>
    <row r="378" spans="1:39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</row>
    <row r="379" spans="1:39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</row>
    <row r="380" spans="1:39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</row>
    <row r="381" spans="1:39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</row>
    <row r="382" spans="1:39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</row>
    <row r="383" spans="1:39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</row>
    <row r="384" spans="1:39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</row>
    <row r="385" spans="1:39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</row>
    <row r="386" spans="1:39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pans="1:39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pans="1:39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pans="1:39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pans="1:39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pans="1:39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</row>
    <row r="392" spans="1:39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</row>
    <row r="393" spans="1:39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pans="1:39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</row>
    <row r="395" spans="1:39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</row>
    <row r="396" spans="1:39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</row>
    <row r="397" spans="1:39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</row>
    <row r="398" spans="1:39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</row>
    <row r="399" spans="1:39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pans="1:39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pans="1:39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pans="1:39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</row>
    <row r="403" spans="1:39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</row>
    <row r="404" spans="1:39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</row>
    <row r="405" spans="1:39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</row>
    <row r="406" spans="1:39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</row>
    <row r="407" spans="1:39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</row>
    <row r="408" spans="1:39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</row>
    <row r="409" spans="1:39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</row>
    <row r="410" spans="1:39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</row>
    <row r="411" spans="1:39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pans="1:39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</row>
    <row r="413" spans="1:39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</row>
    <row r="414" spans="1:39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pans="1:39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</row>
    <row r="416" spans="1:39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</row>
    <row r="417" spans="1:39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pans="1:39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</row>
    <row r="419" spans="1:39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</row>
    <row r="420" spans="1:39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pans="1:39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</row>
    <row r="422" spans="1:39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</row>
    <row r="423" spans="1:39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pans="1:39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pans="1:39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pans="1:39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pans="1:39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pans="1:39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</row>
    <row r="429" spans="1:39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pans="1:39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pans="1:39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pans="1:39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pans="1:39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</row>
    <row r="434" spans="1:39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</row>
    <row r="435" spans="1:39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</row>
    <row r="436" spans="1:39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</row>
    <row r="437" spans="1:39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</row>
    <row r="438" spans="1:39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pans="1:39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pans="1:39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pans="1:39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pans="1:39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pans="1:39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pans="1:39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</row>
    <row r="445" spans="1:39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pans="1:39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</row>
    <row r="447" spans="1:39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</row>
    <row r="448" spans="1:39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pans="1:39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</row>
    <row r="450" spans="1:39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</row>
    <row r="451" spans="1:39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</row>
    <row r="452" spans="1:39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</row>
    <row r="453" spans="1:39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</row>
    <row r="454" spans="1:39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</row>
    <row r="455" spans="1:39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</row>
    <row r="456" spans="1:39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</row>
    <row r="457" spans="1:39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</row>
    <row r="458" spans="1:39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</row>
    <row r="459" spans="1:39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</row>
    <row r="460" spans="1:39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</row>
    <row r="461" spans="1:39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</row>
    <row r="462" spans="1:39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</row>
    <row r="463" spans="1:39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</row>
    <row r="464" spans="1:39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</row>
    <row r="465" spans="1:39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</row>
    <row r="466" spans="1:39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</row>
    <row r="467" spans="1:39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</row>
    <row r="468" spans="1:39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</row>
    <row r="469" spans="1:39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</row>
    <row r="470" spans="1:39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</row>
    <row r="471" spans="1:39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</row>
    <row r="472" spans="1:39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</row>
    <row r="473" spans="1:39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</row>
    <row r="474" spans="1:39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</row>
    <row r="475" spans="1:39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</row>
    <row r="476" spans="1:39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</row>
    <row r="477" spans="1:39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</row>
    <row r="478" spans="1:39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</row>
    <row r="479" spans="1:39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pans="1:39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</row>
    <row r="481" spans="1:39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</row>
    <row r="482" spans="1:39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</row>
    <row r="483" spans="1:39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</row>
    <row r="484" spans="1:39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</row>
    <row r="485" spans="1:39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</row>
    <row r="486" spans="1:39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</row>
    <row r="487" spans="1:39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</row>
    <row r="488" spans="1:39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</row>
    <row r="489" spans="1:39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pans="1:39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</row>
    <row r="491" spans="1:39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</row>
    <row r="492" spans="1:39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pans="1:39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</row>
    <row r="494" spans="1:39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</row>
    <row r="495" spans="1:39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pans="1:39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</row>
    <row r="497" spans="1:39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</row>
    <row r="498" spans="1:39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</row>
    <row r="499" spans="1:39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</row>
    <row r="500" spans="1:39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</row>
    <row r="501" spans="1:39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pans="1:39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</row>
    <row r="503" spans="1:39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</row>
    <row r="504" spans="1:39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</row>
    <row r="505" spans="1:39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</row>
    <row r="506" spans="1:39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</row>
    <row r="507" spans="1:39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pans="1:39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</row>
    <row r="509" spans="1:39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</row>
    <row r="510" spans="1:39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pans="1:39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</row>
    <row r="512" spans="1:39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</row>
    <row r="513" spans="1:39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pans="1:39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</row>
    <row r="515" spans="1:39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</row>
    <row r="516" spans="1:39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</row>
    <row r="517" spans="1:39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</row>
    <row r="518" spans="1:39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</row>
    <row r="519" spans="1:39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pans="1:39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</row>
    <row r="521" spans="1:39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pans="1:39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</row>
    <row r="523" spans="1:39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</row>
    <row r="524" spans="1:39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</row>
    <row r="525" spans="1:39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pans="1:39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</row>
    <row r="527" spans="1:39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</row>
    <row r="528" spans="1:39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</row>
    <row r="529" spans="1:39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</row>
    <row r="530" spans="1:39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</row>
    <row r="531" spans="1:39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</row>
    <row r="532" spans="1:39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</row>
    <row r="533" spans="1:39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</row>
    <row r="534" spans="1:39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pans="1:39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</row>
    <row r="536" spans="1:39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</row>
    <row r="537" spans="1:39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pans="1:39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</row>
    <row r="539" spans="1:39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pans="1:39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</row>
    <row r="541" spans="1:39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pans="1:39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</row>
    <row r="543" spans="1:39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pans="1:39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</row>
    <row r="545" spans="1:39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</row>
    <row r="546" spans="1:39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pans="1:39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</row>
    <row r="548" spans="1:39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</row>
    <row r="549" spans="1:39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pans="1:39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</row>
    <row r="551" spans="1:39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</row>
    <row r="552" spans="1:39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</row>
    <row r="553" spans="1:39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</row>
    <row r="554" spans="1:39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</row>
    <row r="555" spans="1:39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pans="1:39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</row>
    <row r="557" spans="1:39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</row>
    <row r="558" spans="1:39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pans="1:39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</row>
    <row r="560" spans="1:39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</row>
    <row r="561" spans="1:39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</row>
    <row r="562" spans="1:39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</row>
    <row r="563" spans="1:39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</row>
    <row r="564" spans="1:39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</row>
    <row r="565" spans="1:39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</row>
    <row r="566" spans="1:39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</row>
    <row r="567" spans="1:39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</row>
    <row r="568" spans="1:39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</row>
    <row r="569" spans="1:39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</row>
    <row r="570" spans="1:39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pans="1:39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</row>
    <row r="572" spans="1:39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pans="1:39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pans="1:39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pans="1:39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pans="1:39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pans="1:39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pans="1:39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</row>
    <row r="579" spans="1:39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</row>
    <row r="580" spans="1:39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</row>
    <row r="581" spans="1:39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</row>
    <row r="582" spans="1:39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pans="1:39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</row>
    <row r="584" spans="1:39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</row>
    <row r="585" spans="1:39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</row>
    <row r="586" spans="1:39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</row>
    <row r="587" spans="1:39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</row>
    <row r="588" spans="1:39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</row>
    <row r="589" spans="1:39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</row>
    <row r="590" spans="1:39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</row>
    <row r="591" spans="1:39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</row>
    <row r="592" spans="1:39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</row>
    <row r="593" spans="1:39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</row>
    <row r="594" spans="1:39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pans="1:39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</row>
    <row r="596" spans="1:39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</row>
    <row r="597" spans="1:39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</row>
    <row r="598" spans="1:39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</row>
    <row r="599" spans="1:39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</row>
    <row r="600" spans="1:39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</row>
    <row r="601" spans="1:39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</row>
    <row r="602" spans="1:39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</row>
    <row r="603" spans="1:39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pans="1:39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</row>
    <row r="605" spans="1:39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</row>
    <row r="606" spans="1:39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</row>
    <row r="607" spans="1:39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</row>
    <row r="608" spans="1:39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</row>
    <row r="609" spans="1:39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</row>
    <row r="610" spans="1:39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</row>
    <row r="611" spans="1:39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</row>
    <row r="612" spans="1:39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</row>
    <row r="613" spans="1:39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</row>
    <row r="614" spans="1:39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</row>
    <row r="615" spans="1:39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</row>
    <row r="616" spans="1:39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</row>
    <row r="617" spans="1:39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</row>
    <row r="618" spans="1:39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</row>
    <row r="619" spans="1:39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</row>
    <row r="620" spans="1:39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</row>
    <row r="621" spans="1:39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</row>
    <row r="622" spans="1:39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</row>
    <row r="623" spans="1:39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</row>
    <row r="624" spans="1:39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</row>
    <row r="625" spans="1:39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</row>
    <row r="626" spans="1:39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</row>
    <row r="627" spans="1:39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</row>
    <row r="628" spans="1:39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</row>
    <row r="629" spans="1:39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</row>
    <row r="630" spans="1:39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</row>
    <row r="631" spans="1:39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</row>
    <row r="632" spans="1:39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</row>
    <row r="633" spans="1:39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</row>
    <row r="634" spans="1:39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pans="1:39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</row>
    <row r="636" spans="1:39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</row>
    <row r="637" spans="1:39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</row>
    <row r="638" spans="1:39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</row>
    <row r="639" spans="1:39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</row>
    <row r="640" spans="1:39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</row>
    <row r="641" spans="1:39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</row>
    <row r="642" spans="1:39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</row>
    <row r="643" spans="1:39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</row>
    <row r="644" spans="1:39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</row>
    <row r="645" spans="1:39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</row>
    <row r="646" spans="1:39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</row>
    <row r="647" spans="1:39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</row>
    <row r="648" spans="1:39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</row>
    <row r="649" spans="1:39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</row>
    <row r="650" spans="1:39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</row>
    <row r="651" spans="1:39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</row>
    <row r="652" spans="1:39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</row>
    <row r="653" spans="1:39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</row>
    <row r="654" spans="1:39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</row>
    <row r="655" spans="1:39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</row>
    <row r="656" spans="1:39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</row>
    <row r="657" spans="1:39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</row>
    <row r="658" spans="1:39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</row>
    <row r="659" spans="1:39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</row>
    <row r="660" spans="1:39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</row>
    <row r="661" spans="1:39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</row>
    <row r="662" spans="1:39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</row>
    <row r="663" spans="1:39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</row>
    <row r="664" spans="1:39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</row>
    <row r="665" spans="1:39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pans="1:39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</row>
    <row r="667" spans="1:39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</row>
    <row r="668" spans="1:39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pans="1:39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</row>
    <row r="670" spans="1:39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</row>
    <row r="671" spans="1:39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</row>
    <row r="672" spans="1:39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</row>
    <row r="673" spans="1:39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</row>
    <row r="674" spans="1:39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</row>
    <row r="675" spans="1:39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</row>
    <row r="676" spans="1:39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</row>
    <row r="677" spans="1:39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</row>
    <row r="678" spans="1:39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</row>
    <row r="679" spans="1:39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</row>
    <row r="680" spans="1:39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</row>
    <row r="681" spans="1:39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</row>
    <row r="682" spans="1:39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</row>
    <row r="683" spans="1:39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</row>
    <row r="684" spans="1:39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</row>
    <row r="685" spans="1:39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</row>
    <row r="686" spans="1:39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</row>
    <row r="687" spans="1:39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</row>
    <row r="688" spans="1:39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</row>
    <row r="689" spans="1:39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</row>
    <row r="690" spans="1:39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</row>
    <row r="691" spans="1:39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</row>
    <row r="692" spans="1:39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</row>
    <row r="693" spans="1:39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</row>
    <row r="694" spans="1:39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</row>
    <row r="695" spans="1:39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</row>
    <row r="696" spans="1:39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pans="1:39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</row>
    <row r="698" spans="1:39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</row>
    <row r="699" spans="1:39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</row>
    <row r="700" spans="1:39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</row>
    <row r="701" spans="1:39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</row>
    <row r="702" spans="1:39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</row>
    <row r="703" spans="1:39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</row>
    <row r="704" spans="1:39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</row>
    <row r="705" spans="1:39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</row>
    <row r="706" spans="1:39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</row>
    <row r="707" spans="1:39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</row>
    <row r="708" spans="1:39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</row>
    <row r="709" spans="1:39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</row>
    <row r="710" spans="1:39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</row>
    <row r="711" spans="1:39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</row>
    <row r="712" spans="1:39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pans="1:39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</row>
    <row r="714" spans="1:39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</row>
    <row r="715" spans="1:39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</row>
    <row r="716" spans="1:39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</row>
    <row r="717" spans="1:39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</row>
    <row r="718" spans="1:39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</row>
    <row r="719" spans="1:39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</row>
    <row r="720" spans="1:39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</row>
    <row r="721" spans="1:39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</row>
    <row r="722" spans="1:39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</row>
    <row r="723" spans="1:39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</row>
    <row r="724" spans="1:39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</row>
    <row r="725" spans="1:39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</row>
    <row r="726" spans="1:39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</row>
    <row r="727" spans="1:39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pans="1:39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</row>
    <row r="729" spans="1:39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</row>
    <row r="730" spans="1:39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pans="1:39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</row>
    <row r="732" spans="1:39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</row>
    <row r="733" spans="1:39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</row>
    <row r="734" spans="1:39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pans="1:39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pans="1:39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pans="1:39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pans="1:39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</row>
    <row r="739" spans="1:39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</row>
    <row r="740" spans="1:39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</row>
    <row r="741" spans="1:39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</row>
    <row r="742" spans="1:39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</row>
    <row r="743" spans="1:39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</row>
    <row r="744" spans="1:39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</row>
    <row r="745" spans="1:39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</row>
    <row r="746" spans="1:39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</row>
    <row r="747" spans="1:39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</row>
    <row r="748" spans="1:39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</row>
    <row r="749" spans="1:39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</row>
    <row r="750" spans="1:39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</row>
    <row r="751" spans="1:39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</row>
    <row r="752" spans="1:39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</row>
    <row r="753" spans="1:39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</row>
    <row r="754" spans="1:39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</row>
    <row r="755" spans="1:39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</row>
    <row r="756" spans="1:39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</row>
    <row r="757" spans="1:39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</row>
    <row r="758" spans="1:39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pans="1:39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</row>
    <row r="760" spans="1:39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</row>
    <row r="761" spans="1:39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</row>
    <row r="762" spans="1:39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</row>
    <row r="763" spans="1:39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</row>
    <row r="764" spans="1:39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</row>
    <row r="765" spans="1:39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</row>
    <row r="766" spans="1:39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</row>
    <row r="767" spans="1:39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</row>
    <row r="768" spans="1:39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</row>
    <row r="769" spans="1:39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</row>
    <row r="770" spans="1:39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</row>
    <row r="771" spans="1:39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</row>
    <row r="772" spans="1:39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</row>
    <row r="773" spans="1:39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</row>
    <row r="774" spans="1:39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</row>
    <row r="775" spans="1:39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</row>
    <row r="776" spans="1:39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</row>
    <row r="777" spans="1:39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</row>
    <row r="778" spans="1:39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</row>
    <row r="779" spans="1:39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</row>
    <row r="780" spans="1:39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</row>
    <row r="781" spans="1:39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</row>
    <row r="782" spans="1:39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</row>
    <row r="783" spans="1:39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</row>
    <row r="784" spans="1:39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</row>
    <row r="785" spans="1:39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</row>
    <row r="786" spans="1:39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</row>
    <row r="787" spans="1:39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</row>
    <row r="788" spans="1:39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</row>
    <row r="789" spans="1:39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pans="1:39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</row>
    <row r="791" spans="1:39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</row>
    <row r="792" spans="1:39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</row>
    <row r="793" spans="1:39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</row>
    <row r="794" spans="1:39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</row>
    <row r="795" spans="1:39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</row>
    <row r="796" spans="1:39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</row>
    <row r="797" spans="1:39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</row>
    <row r="798" spans="1:39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</row>
    <row r="799" spans="1:39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</row>
    <row r="800" spans="1:39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</row>
    <row r="801" spans="1:39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</row>
    <row r="802" spans="1:39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</row>
    <row r="803" spans="1:39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</row>
    <row r="804" spans="1:39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pans="1:39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</row>
    <row r="806" spans="1:39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</row>
    <row r="807" spans="1:39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</row>
    <row r="808" spans="1:39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</row>
    <row r="809" spans="1:39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</row>
    <row r="810" spans="1:39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</row>
    <row r="811" spans="1:39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</row>
    <row r="812" spans="1:39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</row>
    <row r="813" spans="1:39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</row>
    <row r="814" spans="1:39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</row>
    <row r="815" spans="1:39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</row>
    <row r="816" spans="1:39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</row>
    <row r="817" spans="1:39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</row>
    <row r="818" spans="1:39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</row>
    <row r="819" spans="1:39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</row>
    <row r="820" spans="1:39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pans="1:39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</row>
    <row r="822" spans="1:39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</row>
    <row r="823" spans="1:39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</row>
    <row r="824" spans="1:39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</row>
    <row r="825" spans="1:39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</row>
    <row r="826" spans="1:39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</row>
    <row r="827" spans="1:39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</row>
    <row r="828" spans="1:39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</row>
    <row r="829" spans="1:39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</row>
    <row r="830" spans="1:39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</row>
    <row r="831" spans="1:39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</row>
    <row r="832" spans="1:39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</row>
    <row r="833" spans="1:39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</row>
    <row r="834" spans="1:39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</row>
    <row r="835" spans="1:39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</row>
    <row r="836" spans="1:39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</row>
    <row r="837" spans="1:39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</row>
    <row r="838" spans="1:39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</row>
    <row r="839" spans="1:39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</row>
    <row r="840" spans="1:39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</row>
    <row r="841" spans="1:39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</row>
    <row r="842" spans="1:39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</row>
    <row r="843" spans="1:39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</row>
    <row r="844" spans="1:39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</row>
    <row r="845" spans="1:39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</row>
    <row r="846" spans="1:39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</row>
    <row r="847" spans="1:39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</row>
    <row r="848" spans="1:39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</row>
    <row r="849" spans="1:39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</row>
    <row r="850" spans="1:39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</row>
    <row r="851" spans="1:39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spans="1:39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</row>
    <row r="853" spans="1:39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</row>
    <row r="854" spans="1:39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</row>
    <row r="855" spans="1:39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</row>
    <row r="856" spans="1:39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</row>
    <row r="857" spans="1:39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</row>
    <row r="858" spans="1:39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</row>
    <row r="859" spans="1:39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</row>
    <row r="860" spans="1:39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</row>
    <row r="861" spans="1:39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</row>
    <row r="862" spans="1:39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</row>
    <row r="863" spans="1:39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</row>
    <row r="864" spans="1:39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</row>
    <row r="865" spans="1:39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</row>
    <row r="866" spans="1:39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</row>
    <row r="867" spans="1:39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</row>
    <row r="868" spans="1:39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</row>
    <row r="869" spans="1:39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</row>
    <row r="870" spans="1:39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</row>
    <row r="871" spans="1:39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</row>
    <row r="872" spans="1:39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</row>
    <row r="873" spans="1:39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</row>
    <row r="874" spans="1:39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</row>
    <row r="875" spans="1:39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spans="1:39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</row>
    <row r="877" spans="1:39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</row>
    <row r="878" spans="1:39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</row>
    <row r="879" spans="1:39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</row>
    <row r="880" spans="1:39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</row>
    <row r="881" spans="1:39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</row>
    <row r="882" spans="1:39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spans="1:39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</row>
    <row r="884" spans="1:39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</row>
    <row r="885" spans="1:39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</row>
    <row r="886" spans="1:39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</row>
    <row r="887" spans="1:39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</row>
    <row r="888" spans="1:39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</row>
    <row r="889" spans="1:39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</row>
    <row r="890" spans="1:39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</row>
    <row r="891" spans="1:39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</row>
    <row r="892" spans="1:39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spans="1:39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</row>
    <row r="894" spans="1:39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</row>
    <row r="895" spans="1:39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</row>
    <row r="896" spans="1:39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</row>
    <row r="897" spans="1:39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</row>
    <row r="898" spans="1:39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</row>
    <row r="899" spans="1:39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</row>
    <row r="900" spans="1:39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</row>
    <row r="901" spans="1:39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</row>
    <row r="902" spans="1:39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</row>
    <row r="903" spans="1:39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</row>
    <row r="904" spans="1:39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</row>
    <row r="905" spans="1:39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</row>
    <row r="906" spans="1:39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</row>
    <row r="907" spans="1:39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</row>
    <row r="908" spans="1:39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</row>
    <row r="909" spans="1:39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</row>
    <row r="910" spans="1:39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spans="1:39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</row>
    <row r="912" spans="1:39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</row>
    <row r="913" spans="1:39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spans="1:39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</row>
    <row r="915" spans="1:39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</row>
    <row r="916" spans="1:39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</row>
    <row r="917" spans="1:39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</row>
    <row r="918" spans="1:39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</row>
    <row r="919" spans="1:39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</row>
    <row r="920" spans="1:39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</row>
    <row r="921" spans="1:39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</row>
    <row r="922" spans="1:39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</row>
    <row r="923" spans="1:39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</row>
    <row r="924" spans="1:39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</row>
    <row r="925" spans="1:39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</row>
    <row r="926" spans="1:39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</row>
    <row r="927" spans="1:39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</row>
    <row r="928" spans="1:39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</row>
    <row r="929" spans="1:39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</row>
    <row r="930" spans="1:39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</row>
  </sheetData>
  <mergeCells count="13">
    <mergeCell ref="J2:J9"/>
    <mergeCell ref="A2:A12"/>
    <mergeCell ref="B2:B12"/>
    <mergeCell ref="C2:C12"/>
    <mergeCell ref="F2:F4"/>
    <mergeCell ref="G2:G4"/>
    <mergeCell ref="D2:D12"/>
    <mergeCell ref="F8:F9"/>
    <mergeCell ref="G8:G9"/>
    <mergeCell ref="F10:F12"/>
    <mergeCell ref="G10:G12"/>
    <mergeCell ref="F5:F7"/>
    <mergeCell ref="G5:G7"/>
  </mergeCells>
  <dataValidations count="2">
    <dataValidation type="list" allowBlank="1" showErrorMessage="1" sqref="I2:I12" xr:uid="{00000000-0002-0000-0300-000000000000}">
      <formula1>"Crédito de fomento y liquidez a tasas preferenciales,Fideicomisos y patrimonios autónomos fiduciarios,Capital semilla, riesgo e incubación financiera,Subvenciones, transferencias y cofinanciamiento no reembolsable, Gestión de riesgos, garantías y microseg"&amp;"uros,Asistencia técnica, incubación y fortalecimiento de capacidades,Subvención a la demanda e incentivos individuales (Bonos / Vouchers),Incubación, mentores y aceleración de emprendimientos,Capacitación técnica, laboral y en planta,Fortalecimiento de co"&amp;"nsultores e intermediarios (ICAPs y Cámaras),Centros tecnológicos, plantas piloto y laboratorios compartid, Digitalización, plataformas informáticas e inteligencia productiva,Investigación aplicada, desarrollo de prototipos y concursos,Marcas país, regist"&amp;"ro de origen y sello de producción nacional,Preferencias comerciales e inclusión en compras estatales,Promoción comercial, ferias y eventos de mercado,Adecuación normativa e internacionalización ,Asociatividad y redes empresariales (Clusters y Núcleos), M"&amp;"esas de concertación, acuerdos e institucionalidad compartida,Infraestructura productiva, logística y equipamiento físico,Desarrollo de sistemas de mercado con enfoque social y género,Diagnósticos, auditorías ambientales y medición de impacto,conomía circ"&amp;"ular, ecoeficiencia y residuo cero,Finanzas verdes y taxonomía sostenible"</formula1>
    </dataValidation>
    <dataValidation type="list" allowBlank="1" sqref="D2 E6:E7" xr:uid="{00000000-0002-0000-0300-000001000000}">
      <formula1>"Asistencia técnica, incubación y fortalecimiento de capacidades,Innovación tecnológica, digitalización y productividad,Formalización, certificación, acceso a mercados e internacionalización,Articulación de cadenas, asociatividad e infraestructura producti"&amp;"va,Sostenibilidad, transición verde y economía circular, Financiamiento y crédito productivo"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Sanjines</cp:lastModifiedBy>
  <dcterms:created xsi:type="dcterms:W3CDTF">2026-09-16T18:52:53Z</dcterms:created>
  <dcterms:modified xsi:type="dcterms:W3CDTF">2026-09-16T18:52:53Z</dcterms:modified>
</cp:coreProperties>
</file>