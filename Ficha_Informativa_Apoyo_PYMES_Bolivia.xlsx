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briela\Downloads\"/>
    </mc:Choice>
  </mc:AlternateContent>
  <xr:revisionPtr revIDLastSave="0" documentId="8_{29240468-A395-4F4A-BF07-9BB16359DFC6}" xr6:coauthVersionLast="47" xr6:coauthVersionMax="47" xr10:uidLastSave="{00000000-0000-0000-0000-000000000000}"/>
  <bookViews>
    <workbookView xWindow="-120" yWindow="-120" windowWidth="20730" windowHeight="11160" xr2:uid="{00000000-000D-0000-FFFF-FFFF00000000}"/>
  </bookViews>
  <sheets>
    <sheet name="Copia de Mapeo v3" sheetId="5"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29" i="5" l="1"/>
  <c r="AJ129" i="5"/>
  <c r="T129" i="5"/>
  <c r="AK128" i="5"/>
  <c r="AJ128" i="5"/>
  <c r="T128" i="5"/>
  <c r="AK126" i="5"/>
  <c r="AJ126" i="5"/>
  <c r="T126" i="5"/>
  <c r="AK125" i="5"/>
  <c r="AJ125" i="5"/>
  <c r="T125" i="5"/>
  <c r="AK123" i="5"/>
  <c r="AJ123" i="5"/>
  <c r="T123" i="5"/>
  <c r="AK122" i="5"/>
  <c r="AJ122" i="5"/>
  <c r="T122" i="5"/>
  <c r="AJ121" i="5"/>
  <c r="AJ120" i="5"/>
  <c r="AK118" i="5"/>
  <c r="AJ118" i="5"/>
  <c r="T118" i="5"/>
  <c r="AJ117" i="5"/>
  <c r="AK112" i="5"/>
  <c r="AJ112" i="5"/>
  <c r="T112" i="5"/>
  <c r="AK111" i="5"/>
  <c r="AJ111" i="5"/>
  <c r="T111" i="5"/>
  <c r="AK110" i="5"/>
  <c r="AJ110" i="5"/>
  <c r="T110" i="5"/>
  <c r="AK108" i="5"/>
  <c r="AJ108" i="5"/>
  <c r="AK107" i="5"/>
  <c r="AJ107" i="5"/>
  <c r="AK106" i="5"/>
  <c r="AJ106" i="5"/>
  <c r="AK99" i="5"/>
  <c r="AJ99" i="5"/>
  <c r="AK98" i="5"/>
  <c r="AJ98" i="5"/>
  <c r="AK97" i="5"/>
  <c r="AJ97" i="5"/>
  <c r="AK96" i="5"/>
  <c r="AJ96" i="5"/>
  <c r="AK94" i="5"/>
  <c r="AJ94" i="5"/>
  <c r="AK93" i="5"/>
  <c r="AJ93" i="5"/>
  <c r="AK92" i="5"/>
  <c r="AJ92" i="5"/>
  <c r="AK90" i="5"/>
  <c r="AJ90" i="5"/>
  <c r="AK88" i="5"/>
  <c r="AJ88" i="5"/>
  <c r="AK86" i="5"/>
  <c r="AJ86" i="5"/>
  <c r="T86" i="5"/>
  <c r="AK85" i="5"/>
  <c r="AJ85" i="5"/>
  <c r="T85" i="5"/>
  <c r="AK84" i="5"/>
  <c r="AJ84" i="5"/>
  <c r="T84" i="5"/>
  <c r="AK79" i="5"/>
  <c r="AJ79" i="5"/>
  <c r="T79" i="5"/>
  <c r="AK77" i="5"/>
  <c r="AJ77" i="5"/>
  <c r="T77" i="5"/>
  <c r="AK75" i="5"/>
  <c r="AJ75" i="5"/>
  <c r="T75" i="5"/>
  <c r="AK69" i="5"/>
  <c r="AJ69" i="5"/>
  <c r="AK68" i="5"/>
  <c r="AJ68" i="5"/>
  <c r="AK67" i="5"/>
  <c r="AJ67" i="5"/>
  <c r="AK64" i="5"/>
  <c r="AJ64" i="5"/>
  <c r="T64" i="5"/>
  <c r="AK62" i="5"/>
  <c r="AJ62" i="5"/>
  <c r="T62" i="5"/>
  <c r="AK59" i="5"/>
  <c r="AJ59" i="5"/>
  <c r="T59" i="5"/>
  <c r="AK55" i="5"/>
  <c r="AJ55" i="5"/>
  <c r="T55" i="5"/>
  <c r="AK52" i="5"/>
  <c r="AJ52" i="5"/>
  <c r="T52" i="5"/>
  <c r="AK51" i="5"/>
  <c r="AJ51" i="5"/>
  <c r="T51" i="5"/>
  <c r="AJ38" i="5"/>
  <c r="AJ36" i="5"/>
  <c r="AJ34" i="5"/>
  <c r="AK16" i="5"/>
  <c r="AJ16" i="5"/>
  <c r="T16" i="5"/>
  <c r="AK15" i="5"/>
  <c r="AJ15" i="5"/>
  <c r="T15" i="5"/>
  <c r="AK13" i="5"/>
  <c r="AJ13" i="5"/>
  <c r="T13" i="5"/>
  <c r="AK12" i="5"/>
  <c r="AJ12" i="5"/>
  <c r="AK8" i="5"/>
  <c r="AJ8" i="5"/>
  <c r="AK5" i="5"/>
  <c r="AJ5" i="5"/>
  <c r="AK2" i="5"/>
  <c r="AJ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tc={9e584d20-786a-40bf-b0b8-888b8bfa0f72}</author>
  </authors>
  <commentList>
    <comment ref="A51" authorId="0" shapeId="0" xr:uid="{9E584D20-786A-40BF-B0B8-888B8BFA0F72}">
      <text>
        <t>[Comentario encadenado]
Su versión de Excel le permite leer este comentario encadenado; sin embargo, las ediciones que se apliquen se quitarán si el archivo se abre en una versión más reciente de Excel. Más información: https://go.microsoft.com/fwlink/?linkid=870924
Comentario:
    Administrado por PROBOLIVIA</t>
      </text>
    </comment>
  </commentList>
</comments>
</file>

<file path=xl/sharedStrings.xml><?xml version="1.0" encoding="utf-8"?>
<sst xmlns="http://schemas.openxmlformats.org/spreadsheetml/2006/main" count="1160" uniqueCount="839">
  <si>
    <t>Nombre del programa o instrumento</t>
  </si>
  <si>
    <t>Período de implementación</t>
  </si>
  <si>
    <t>Descripción</t>
  </si>
  <si>
    <t>Objetivo general</t>
  </si>
  <si>
    <t>Categoría principal de intervención</t>
  </si>
  <si>
    <t>Categoría(s) secundaria(s) de intervención</t>
  </si>
  <si>
    <t>Problema (genérico) que busca resolver</t>
  </si>
  <si>
    <t>Hipótesis</t>
  </si>
  <si>
    <t>Instrumentos o herramientas</t>
  </si>
  <si>
    <t>Hipótesis (genérica)</t>
  </si>
  <si>
    <t>Subcategoría de intervención</t>
  </si>
  <si>
    <t>Institución ejecutora</t>
  </si>
  <si>
    <t>Sector económico</t>
  </si>
  <si>
    <t>Año de creación</t>
  </si>
  <si>
    <t>Años de antiguedad (vs creación)</t>
  </si>
  <si>
    <t>Columna 1</t>
  </si>
  <si>
    <t>Tipo de intervención</t>
  </si>
  <si>
    <t>Estado actual</t>
  </si>
  <si>
    <t>Tipo de instrumento</t>
  </si>
  <si>
    <t>Mecanismo de entrega</t>
  </si>
  <si>
    <t>Requisitos de acceso</t>
  </si>
  <si>
    <t>Población empresarial</t>
  </si>
  <si>
    <t>Grado de formalidad requerido</t>
  </si>
  <si>
    <t>Territorio</t>
  </si>
  <si>
    <t>Enfoque de género</t>
  </si>
  <si>
    <t>Indicadores previstos</t>
  </si>
  <si>
    <t>Número de beneficiarios (Efectivo)</t>
  </si>
  <si>
    <t>Moneda (Presupuesto)</t>
  </si>
  <si>
    <t>Presupuesto asignado</t>
  </si>
  <si>
    <t>Moneda (Costo por beneficiario)</t>
  </si>
  <si>
    <t>Costo por beneficiario</t>
  </si>
  <si>
    <t>Fuente de financiamiento</t>
  </si>
  <si>
    <t>Productos entregados</t>
  </si>
  <si>
    <t>Lecciones aprendidas</t>
  </si>
  <si>
    <t>SAT (Servicio Asistencia Técnica)</t>
  </si>
  <si>
    <t>1997-2005</t>
  </si>
  <si>
    <t>Programa estatal de capacitación y asistencia técnica para micro y pequeñas empresas manufactureras y turísticas. Funcionó mediante un sistema de bonos que otorgaba libertad de elección al productor</t>
  </si>
  <si>
    <t>Fortalecer capacidad artesanal</t>
  </si>
  <si>
    <t>Asistencia técnica, incubación y fortalecimiento de capacidades</t>
  </si>
  <si>
    <t>Gestión empresarial y habilidades gerenciales deficientes: Existían marcadas debilidades en la capacidad gerencial, contable, administrativa y de mercado en los micro y pequeños empresarios y artesanos</t>
  </si>
  <si>
    <t xml:space="preserve">Al implementar un sistema de bonos subsidiados entregados directamente al microempresario, se le permite contratar capacitaciones en gestión y contabilidad a medida, adquiriendo competencias gerenciales directas
</t>
  </si>
  <si>
    <t>Sistema de Bonos subsidiados: Vouchers emitidos por el Estado para cofinanciar capacitaciones a demanda del productor</t>
  </si>
  <si>
    <t>Subvención a la demanda e incentivos individuales (Bonos / Vouchers)</t>
  </si>
  <si>
    <t xml:space="preserve">Sector Industrial Manufacturero, Micro/Pequeña Industria y Artesanía (Sector Secundario)
</t>
  </si>
  <si>
    <t>SAT (Entidad)</t>
  </si>
  <si>
    <t>Capacitación técnica</t>
  </si>
  <si>
    <t>Concluido</t>
  </si>
  <si>
    <t>Asistencia Técnica</t>
  </si>
  <si>
    <t>Sistema de bonos</t>
  </si>
  <si>
    <t>Micro y pequeños</t>
  </si>
  <si>
    <t>Micro y Pequeña</t>
  </si>
  <si>
    <t>Industrial y Turístico</t>
  </si>
  <si>
    <t>Nacional</t>
  </si>
  <si>
    <t>Participación femenina</t>
  </si>
  <si>
    <t>93.463 personas</t>
  </si>
  <si>
    <t>USD</t>
  </si>
  <si>
    <t>Créditos IDA / BID</t>
  </si>
  <si>
    <t>Consultoría especializada</t>
  </si>
  <si>
    <t>Los bonos dan libertad de elección al productor</t>
  </si>
  <si>
    <t>Registro de Instituciones de Capacitación (ICAPs): Padrón de consultores y centros privados acreditados</t>
  </si>
  <si>
    <t>Fortalecimiento de consultores e intermediarios (ICAPs y Cámaras)</t>
  </si>
  <si>
    <t>Programa "Mejorar": Módulo especializado en bonos para capacitación técnica en oficio y gestión</t>
  </si>
  <si>
    <t>Trámites y burocracia estatal: El sector industrial enfrentaba impedimentos burocráticos y procesos lentos que frenaban la modernización y la iniciativa empresarial</t>
  </si>
  <si>
    <t>Al desconcentrar operativamente los servicios e implementar un registro simplificado mediante Cédula Empresarial, se reducen los costos de transacción y tiempos administrativos para la modernización.</t>
  </si>
  <si>
    <t>Programa "Informar": Difusión institucional y ventanilla de atención al microempresario</t>
  </si>
  <si>
    <t>Cédula Empresarial: Acreditación única e identificación simplificada del beneficiario</t>
  </si>
  <si>
    <t>Marcas país, registro de origen y sello de producción nacional</t>
  </si>
  <si>
    <t>Proyectos FOMIN / BID MyPEs</t>
  </si>
  <si>
    <t>Fondo internacional para canalizar financiamiento y apoyo integral a micro y pequeñas empresas formales, resolviendo la escasez de crédito productivo</t>
  </si>
  <si>
    <t>Apoyo integral MyPE</t>
  </si>
  <si>
    <t>BID / FOMIN</t>
  </si>
  <si>
    <t>Oficinas Regionales Desconcentradas: Unidades territoriales operativas instaladas a nivel nacional</t>
  </si>
  <si>
    <t>BDP-SAM (NAFIBO)</t>
  </si>
  <si>
    <t>Infraestructura productiva, logística y equipamiento físico</t>
  </si>
  <si>
    <t>1999-2005</t>
  </si>
  <si>
    <t>Financiamiento</t>
  </si>
  <si>
    <t>Inexistencia de un mercado de servicios no financieros: Carecía un mercado transparente y competitivo de consultoría privada y capacitación adaptado a las demandas reales de las micro y pequeñas empresas</t>
  </si>
  <si>
    <t>Crédito</t>
  </si>
  <si>
    <t xml:space="preserve"> Al actuar como entidad pública de "tercer piso" que acredita e intermedia recursos hacia consultores privados e institutos (ICAPs), se estimula la oferta privada y competitiva de servicios empresariales.</t>
  </si>
  <si>
    <t>Mecanismo Institucional de Tercer Piso: Administración delegada donde el Estado norma y financia, mientras privados ejecutan</t>
  </si>
  <si>
    <t>Intermediación</t>
  </si>
  <si>
    <t>MyPEs formales</t>
  </si>
  <si>
    <t>Multisectorial</t>
  </si>
  <si>
    <t>600 MyPEs</t>
  </si>
  <si>
    <t>12 PYMES</t>
  </si>
  <si>
    <t>Programa "Apoyo a la Oferta": Bonos para la actualización y certificación de consultores privados</t>
  </si>
  <si>
    <t>Subprogramas de crédito</t>
  </si>
  <si>
    <t>Requería redirección a prioridades</t>
  </si>
  <si>
    <t>Improvisación y elevada mortalidad de negocios: Los emprendimientos nacían con visión de corto plazo y sin acompañamiento técnico, provocando la pérdida prematura de capital</t>
  </si>
  <si>
    <t>PAC (Prog. Apoyo Competitividad)</t>
  </si>
  <si>
    <t>Al estructurar módulos secuenciales (Emprender, Mejorar, Innovar, Asociar), se acompaña al emprendedor con diagnósticos y planes de desarrollo de largo plazo que evitan la quiebra prematura.</t>
  </si>
  <si>
    <t>Programa "Emprender": Bonos de financiamiento para tutores dedicados al diseño del plan empresarial</t>
  </si>
  <si>
    <t>Iniciativa de la CAF que financió investigación, asistencia técnica y articulación de cadenas o "clusters" de exportación mediante metodologías participativas y talleres</t>
  </si>
  <si>
    <t>Fortalecer clusters exportación</t>
  </si>
  <si>
    <t>CAF</t>
  </si>
  <si>
    <t>UPC</t>
  </si>
  <si>
    <t>Programa "Innovar": Diagnóstico integral de producción, contabilidad y plan de desarrollo</t>
  </si>
  <si>
    <t>Investigación y Clusters</t>
  </si>
  <si>
    <t>Diagnósticos y talleres</t>
  </si>
  <si>
    <t>Clusters seleccionados</t>
  </si>
  <si>
    <t>Clusters y OE's</t>
  </si>
  <si>
    <t>Programas "Asociar" y "Mercados": Bonos para diagnósticos asociativos, consorcios y participación en ferias</t>
  </si>
  <si>
    <t>47 proyectos</t>
  </si>
  <si>
    <t>47 contrapartes</t>
  </si>
  <si>
    <t>Estudios de cluster</t>
  </si>
  <si>
    <t>Compatibiliza intereses diversos</t>
  </si>
  <si>
    <t xml:space="preserve"> Financiamiento y crédito productivo</t>
  </si>
  <si>
    <t>Restricción y "crunch" de crédito: Las MyPEs formales enfrentaban un severo racionamiento del crédito en el sistema financiero tradicional por falta de garantías convencionales e historial bancario</t>
  </si>
  <si>
    <t xml:space="preserve">Al canalizar recursos multilaterales hacia entidades financieras especializadas en microfinanzas, se introducen metodologías crediticias alternativas que evalúan capacidad de pago en lugar de exigir únicamente garantías convencionales.
</t>
  </si>
  <si>
    <t>Convenio de Préstamo BID 1020/SF-BO: Fondo multilateral asignado para intermediación financiera</t>
  </si>
  <si>
    <t>Fideicomisos Sectoriales y Multisectoriales (Incluye FDP, FIP y Líneas Sectoriales BDP)</t>
  </si>
  <si>
    <t>Fideicomisos y patrimonios autónomos fiduciarios</t>
  </si>
  <si>
    <t>Patrimonios autónomos estatales operados por el BDP para canalizar financiamiento a sectores productivos estratégicos, promoviendo innovación tecnológica y sostenibilidad en micro y medianas unidades productivas</t>
  </si>
  <si>
    <t>Financiar las prioridades productivas y estratégicas del Estado</t>
  </si>
  <si>
    <t>BDP-S.A.M. (Fiduciario)</t>
  </si>
  <si>
    <t>Financiamiento e intermediación financiera</t>
  </si>
  <si>
    <t>Vigente</t>
  </si>
  <si>
    <t>Ventanilla crediticia BDP/NAFIBO a EIFs: Canalización de fondos a través de Instituciones Financieras de Desarrollo y banca de segundo piso</t>
  </si>
  <si>
    <t>Fideicomisos de Crédito (Patrimonios Autónomos)</t>
  </si>
  <si>
    <t>Desembolsos vía ventanillas de primer y segundo piso</t>
  </si>
  <si>
    <t>NIT activo, proyecto viable y pertenencia a rubros priorizados</t>
  </si>
  <si>
    <t>Micro, Pequeños y Medianos productores y organizaciones</t>
  </si>
  <si>
    <t>Unidades y organizaciones legalmente constituidas</t>
  </si>
  <si>
    <t xml:space="preserve">Transversal </t>
  </si>
  <si>
    <t>Ausencia de financiamiento de largo plazo: La oferta crediticia comercial se limitaba a plazos muy cortos e intereses elevados que impedían la inversión en activos fijos</t>
  </si>
  <si>
    <t>Saldo de cartera bruta y operaciones vigentes</t>
  </si>
  <si>
    <t>Al disponer de subprogramas de crédito fomento con plazos extendidos, se otorga la liquidez necesaria para inversiones en maquinaria e infraestructura.</t>
  </si>
  <si>
    <t>Subprogramas de Crédito Productivo: Líneas de financiamiento fomento con plazos de mediano y largo plazo</t>
  </si>
  <si>
    <t>2.318 operaciones activas</t>
  </si>
  <si>
    <t>Crédito de fomento y liquidez a tasas preferenciales</t>
  </si>
  <si>
    <t>BOB</t>
  </si>
  <si>
    <t>Tesoro General de la Nación (TGN) y recursos BDP</t>
  </si>
  <si>
    <t>Créditos para capital de inversión y operaciones</t>
  </si>
  <si>
    <t>Falta de apoyo integral: Los esfuerzos de financiamiento no estaban acompañados de servicios de asistencia técnica y desarrollo empresarial para garantizar la sostenibilidad y reconversión productiva</t>
  </si>
  <si>
    <t>Los fideicomisos permiten instrumentalizar la política de manera ágil</t>
  </si>
  <si>
    <t>Al articular el financiamiento con servicios de apoyo empresarial, se fortalece la capacidad de repago y la reconversión productiva de la MyPE formal.</t>
  </si>
  <si>
    <t>Componente de Cooperación Técnica No Reembolsable: Paquete de servicios de desarrollo empresarial acoplado a la concesión de préstamos</t>
  </si>
  <si>
    <t>Subvenciones, transferencias y cofinanciamiento no reembolsable</t>
  </si>
  <si>
    <t>PROLECHE (Fondo de Apoyo)</t>
  </si>
  <si>
    <t>Fondo que fomenta el complejo lácteo, promueve el consumo de leche y otorga transferencias e infraestructura a productores. Se financia con retenciones a bebidas alcohólicas.</t>
  </si>
  <si>
    <t>Fomentar complejo lácteo</t>
  </si>
  <si>
    <t>PRO-BOLIVIA</t>
  </si>
  <si>
    <t>SBPC y Acuerdos de Competitividad (ABC)</t>
  </si>
  <si>
    <t>2001 - 2005</t>
  </si>
  <si>
    <t>Sistema de concertación público-privada creado para formular políticas de productividad, utilizando los ABC como compromisos mutuos de inversión y competitividad por cadena productiva</t>
  </si>
  <si>
    <t>Definir visión estratégica y generar cadenas competitivas</t>
  </si>
  <si>
    <t>Articulación de cadenas, asociatividad e infraestructura productiva</t>
  </si>
  <si>
    <t>Conflictos y desarticulación público-privada: Falta de espacios institucionales de diálogo concertado y permanente entre empresarios, el gobierno y la academia</t>
  </si>
  <si>
    <t>Al institucionalizar el Consejo Boliviano de Competitividad con espacios permanentes de concertación, se construyen agendas de trabajo compartidas restaurando la confianza mutua.</t>
  </si>
  <si>
    <t>Foro Boliviano de Productividad y Competitividad: Espacio de diálogo al más alto nivel institucional</t>
  </si>
  <si>
    <t xml:space="preserve"> Mesas de concertación, acuerdos e institucionalidad compartida</t>
  </si>
  <si>
    <t>Subvención e infraestructura</t>
  </si>
  <si>
    <t>Unidad de Productividad y Competitividad (UPC)</t>
  </si>
  <si>
    <t>2001 (SBPC) / 2002 (ABC)</t>
  </si>
  <si>
    <t>25 años desde su creación original</t>
  </si>
  <si>
    <t>Asociatividad, articulación de cadenas y clusters</t>
  </si>
  <si>
    <t>Transferencia no reembolsable</t>
  </si>
  <si>
    <t>Acuerdo Público-Privado / Agenda Responsabilidad (ARCO)</t>
  </si>
  <si>
    <t>Equipos e infraestructura</t>
  </si>
  <si>
    <t>Mesas de concertación y negociación participativa</t>
  </si>
  <si>
    <t>Ser actor relevante de la cadena productiva seleccionada</t>
  </si>
  <si>
    <t>Unidades productivas de todos los tamaños en clusters</t>
  </si>
  <si>
    <t>Certificación precio justo</t>
  </si>
  <si>
    <t>Nacional, Municipal y Prefectural</t>
  </si>
  <si>
    <t>Productores lácteos</t>
  </si>
  <si>
    <t>20 clusters articulados nacionalmente</t>
  </si>
  <si>
    <t>Industrias registradas</t>
  </si>
  <si>
    <t>Mixto (TGN, CAF, Sector Privado)</t>
  </si>
  <si>
    <t>Planes de competitividad y matrices de compromisos</t>
  </si>
  <si>
    <t>La institucionalidad compartida es clave para el éxito</t>
  </si>
  <si>
    <t>16 unidades productivas lácteas</t>
  </si>
  <si>
    <t>Consejos Departamentales de Competitividad (CDC): Instancias regionales de concertación estratégica</t>
  </si>
  <si>
    <t>Retenciones bebidas alcohólicas</t>
  </si>
  <si>
    <t>Trámites costosos y mal clima de negocios: Trámites burocráticos excesivos, incertidumbre normativa y problemas transversales de infraestructura que restaban competitividad al país</t>
  </si>
  <si>
    <t>Centros de acopio</t>
  </si>
  <si>
    <t>Al incluir programas transversales de desregulación y simplificación de trámites, se disminuyen las trabas administrativas que frenan la inversión privada.</t>
  </si>
  <si>
    <t>Programa Nacional de Simplificación de Trámites: Estrategia de desburocratización para apertura y operación de empresas</t>
  </si>
  <si>
    <t>Apoyo condicionado al precio justo</t>
  </si>
  <si>
    <t>AL-INVEST 5.0 (Bolivia)</t>
  </si>
  <si>
    <t>Programa europeo liderado por CAINCO que elevó la productividad y competitividad de Mipymes a través de asistencia técnica grupal y núcleos empresariales asociativos</t>
  </si>
  <si>
    <t>Desarrollo sostenible mipymes</t>
  </si>
  <si>
    <t>Unión Europea</t>
  </si>
  <si>
    <t>Consorcios (CAINCO)</t>
  </si>
  <si>
    <t>Productividad y mercados</t>
  </si>
  <si>
    <t>Asistencia Técnica grupal</t>
  </si>
  <si>
    <t>Núcleos empresariales</t>
  </si>
  <si>
    <t>Mipymes en gremios</t>
  </si>
  <si>
    <t>Desconfianza entre eslabones de la cadena: Desarticulación entre los proveedores de materia prima, la industria procesadora y los comercializadores</t>
  </si>
  <si>
    <t>Al suscribir Acuerdos Bolivianos de Competitividad (ABC) con compromisos recíprocos de inversión, cada actor asume responsabilidades puntuales que elevan la productividad total del cluster.</t>
  </si>
  <si>
    <t>Mipymes</t>
  </si>
  <si>
    <t>Acuerdos Bolivianos de Competitividad (ABC): Documentos de compromiso público-privado</t>
  </si>
  <si>
    <t>Mujeres empoderadas</t>
  </si>
  <si>
    <t>3.939 Mipymes (Bol)</t>
  </si>
  <si>
    <t>EUR</t>
  </si>
  <si>
    <t>Servicios OE, certificados</t>
  </si>
  <si>
    <t>"Sector apoya a sector" funciona</t>
  </si>
  <si>
    <t>2001 -2008</t>
  </si>
  <si>
    <t>Capital Semilla (FOCASE)</t>
  </si>
  <si>
    <t>Fondo administrado por el BDP que otorga financiamiento y créditos de arranque a nuevos emprendimientos de profesionales, técnicos o microproductores, utilizando utilidades de la banca.</t>
  </si>
  <si>
    <t>Financiar etapas iniciales</t>
  </si>
  <si>
    <t>Baja competitividad sistémica y dependencia de primarios: Las formas de competir internacionalmente se basaban en ventajas comparativas estáticas (recursos naturales) en lugar de innovación y valor agregado</t>
  </si>
  <si>
    <t xml:space="preserve"> Al financiar diagnósticos estratégicos y de innovación, se orienta a los sectores productivos hacia la incorporación de mayor valor agregado en lugar de ventajas estáticas.
</t>
  </si>
  <si>
    <t>Estudios de Caracterización y Análisis Competitivo: Investigaciones técnicas de mercado por sector (Soya, Quinua, Vinos, Maderas, Cueros, Textiles)</t>
  </si>
  <si>
    <t>BDP-SAM</t>
  </si>
  <si>
    <t>Investigación aplicada, desarrollo de prototipos y concursos</t>
  </si>
  <si>
    <t>Desembolso directo</t>
  </si>
  <si>
    <t>Título o aval de formación</t>
  </si>
  <si>
    <t>Emprendimientos</t>
  </si>
  <si>
    <t>Formales/En proceso</t>
  </si>
  <si>
    <t>Fondos de Cofinanciamiento para Proyectos de Innovación: Asignaciones para transferencia tecnológica en cadenas</t>
  </si>
  <si>
    <t>Producción y servicios</t>
  </si>
  <si>
    <t>Prioriza mujeres</t>
  </si>
  <si>
    <t>2.072 operaciones</t>
  </si>
  <si>
    <t>3.462 operaciones</t>
  </si>
  <si>
    <t>Desarticulación en cadenas y clusters: Los eslabones de las cadenas productivas de exportación (soya, quinua, madera, textil, cuero, vino) operaban de forma aislada y sin visiones estratégicas compartidas</t>
  </si>
  <si>
    <t>Al aplicar metodologías participativas que reúnen a productores, industrias y sector público, se construye una visión compartida que integra horizontal y verticalmente los eslabones del cluster.</t>
  </si>
  <si>
    <t xml:space="preserve">Metodología Participativa de Desarrollo de Clusters: Diseño conjunto conducido por expertos de CID-Harvard y CLACDS-INCAE
</t>
  </si>
  <si>
    <t>Asociatividad y redes empresariales (Clusters y Núcleos)</t>
  </si>
  <si>
    <t>Utilidades banca (3% y 6%)</t>
  </si>
  <si>
    <t>Créditos de arranque</t>
  </si>
  <si>
    <t>Fondo vital para diversificación</t>
  </si>
  <si>
    <t>CITEs / CETIPs</t>
  </si>
  <si>
    <t>Centros públicos especializados de PRO-BOLIVIA que brindan asistencia técnica, capacitación, laboratorios y servicios de maquinado industrial para mejorar la productividad de las MyPEs</t>
  </si>
  <si>
    <t>Talleres de Trabajo y Comités Consultivos: Mesas de concertación entre productores, industriales y exportadores</t>
  </si>
  <si>
    <t>Acceso a tecnología aplicada</t>
  </si>
  <si>
    <t>Cuellos de botella logísticos y de entorno: Existían severas deficiencias en infraestructura de transporte, burocracia aduanera y falta de investigación/tecnología aplicada</t>
  </si>
  <si>
    <t>Innovación tecnológica</t>
  </si>
  <si>
    <t xml:space="preserve"> Al suscribir Acuerdos Bolivianos de Competitividad (ABC) con compromisos explícitos, se priorizan inversiones clave en transporte, infraestructura y simplificación normativa.</t>
  </si>
  <si>
    <t>Acuerdos Bolivianos de Competitividad (ABC): Compromisos marco suscritos entre el sector público y privado</t>
  </si>
  <si>
    <t>Infraestructura Servicios</t>
  </si>
  <si>
    <t>Servicios de laboratorio</t>
  </si>
  <si>
    <t>Unidades registradas</t>
  </si>
  <si>
    <t>36.926 servicios técnicos</t>
  </si>
  <si>
    <t xml:space="preserve">Matriz ARCO (Agenda de Responsabilidad Compartida): Plan de acción con 93 medidas específicas de infraestructura, normas y logística
</t>
  </si>
  <si>
    <t>Recursos públicos</t>
  </si>
  <si>
    <t>Prototipos, ensayos</t>
  </si>
  <si>
    <t>Clave para industrialización básica</t>
  </si>
  <si>
    <t xml:space="preserve">2007 - Presente
</t>
  </si>
  <si>
    <t>Sello "Hecho en Bolivia"</t>
  </si>
  <si>
    <t>Innovación tecnológica, digitalización y productividad</t>
  </si>
  <si>
    <t>Registro y acreditación oficial para unidades productivas nacionales, permitiéndoles acceder a mercados internos y preferenciales en compras públicas del Estado</t>
  </si>
  <si>
    <t>Rezago tecnológico en la manufactura básica: Las MyPEs e industrias artesanales sufrían de un atraso considerable en maquinaria, herramientas y metodologías de producción</t>
  </si>
  <si>
    <t>Al poner a disposición centros tecnológicos públicos equipados con plantas piloto y maquinaria industrial, se democratiza el acceso a tecnología de producción avanzada.</t>
  </si>
  <si>
    <t>Infraestructura de Centros Tecnológicos: CETIP Textil y Madera (El Alto), CETIP Textil (Potosí) y CETIP Cuero (Cochabamba) dotados de plantas piloto</t>
  </si>
  <si>
    <t>Centros tecnológicos, plantas piloto y laboratorios compartid</t>
  </si>
  <si>
    <t>Acreditar unidades para compras</t>
  </si>
  <si>
    <t>Formalización y mercados</t>
  </si>
  <si>
    <t>Registro / Sello</t>
  </si>
  <si>
    <t>Certificado Registro</t>
  </si>
  <si>
    <t>NIT activo</t>
  </si>
  <si>
    <t>Formales</t>
  </si>
  <si>
    <t>Dificultad de acceso a infraestructura técnica avanzada: Los pequeños productores no podían costear laboratorios de ensayo de calidad, metrología, diseño asistido o equipos de maquinado industrial</t>
  </si>
  <si>
    <t>Manufactura</t>
  </si>
  <si>
    <t xml:space="preserve"> Al prestar servicios compartidos de ensayos de calidad, metrología y maquinado a bajo costo, se elimina la barrera de inversión individual en bienes de capital costosos.</t>
  </si>
  <si>
    <t>Servicios de Maquinado Industrial: Alquiler y uso de maquinaria especializada para procesos de transformación</t>
  </si>
  <si>
    <t>3.000 solicitudes</t>
  </si>
  <si>
    <t>15.111 MyPymes</t>
  </si>
  <si>
    <t>Laboratorios de Metrología y Ensayos de Calidad: Pruebas físicas y químicas de insumos y materiales</t>
  </si>
  <si>
    <t>Certificado acreditación</t>
  </si>
  <si>
    <t>Facilita la compra estatal a las MyPEs</t>
  </si>
  <si>
    <t>BDP Lab (Incubadora)</t>
  </si>
  <si>
    <t>Incubadora de negocios del BDP que ofrece mentoría, coworking y asistencia técnica personalizada para perfeccionar planes de negocio y facilitar el acceso a capital semilla.</t>
  </si>
  <si>
    <t>Despegue de emprendimientos</t>
  </si>
  <si>
    <t>Cuellos de botella en el acabado de productos: Existían deficiencias severas en el acabado, estandarización y control de calidad en complejos clave como madera, textil, cuero, metalmecánica y lácteos</t>
  </si>
  <si>
    <t>Al brindar asistencia técnica especializada en diseño, prototipado y control de calidad, se estandarizan las manufacturas nacionales para competir en el mercado formal.</t>
  </si>
  <si>
    <t>Servicios de Prototipado y Diseño Asistido: Asistencia técnica especializada para moldes, patrones y diseño de líneas</t>
  </si>
  <si>
    <t xml:space="preserve">Talleres en Planta de Transferencia Tecnológica: Capacitaciones operativas directas al personal técnico de las MyPEs
</t>
  </si>
  <si>
    <t>Capacitación técnica, laboral y en planta</t>
  </si>
  <si>
    <t>2011 - Presente</t>
  </si>
  <si>
    <t>Bajo consumo per cápita de leche: La población boliviana registraba bajos niveles de consumo de lácteos, lo que afectaba la seguridad alimentaria y la nutrición</t>
  </si>
  <si>
    <t>Al financiar campañas masivas de incentivo y promover la distribución de lácteos en sectores vulnerables, se incrementa la demanda interna y el nivel nutricional nacional.</t>
  </si>
  <si>
    <t>Fondo PROLECHE (Ley 204 / DS 1207): Cuenta de administración específica operada por PRO-BOLIVIA</t>
  </si>
  <si>
    <t>SIBOLIVIA (Fideicomiso FIREDIN)</t>
  </si>
  <si>
    <t>Fideicomiso estatal que financia capital de operaciones o inversión para la sustitución de importaciones, ofreciendo una tasa de interés fija anual del 0,5%</t>
  </si>
  <si>
    <t>Industrialización con sustitución de importaciones</t>
  </si>
  <si>
    <t>BDP-S.A.M. y Banco Unión S.A.</t>
  </si>
  <si>
    <t>En ejecución</t>
  </si>
  <si>
    <t xml:space="preserve">Mecanismos de Recaudación (RCC y RIBA): Retenciones a la comercialización de cerveza e importación de bebidas alcohólicas
</t>
  </si>
  <si>
    <t>Financiamiento directo (Crédito)</t>
  </si>
  <si>
    <t>Crédito con tasa de interés fija del 0,5% anual</t>
  </si>
  <si>
    <t>Ventanilla bancaria (BDP y Banco Unión)</t>
  </si>
  <si>
    <t>NIT activo y proyecto de producción nacional</t>
  </si>
  <si>
    <t>Micro, Pequeña, Mediana y Gran Empresa</t>
  </si>
  <si>
    <t>Unidades económicas formales</t>
  </si>
  <si>
    <t>Manufactura, Agroindustria y Agropecuario</t>
  </si>
  <si>
    <t xml:space="preserve">Nacional </t>
  </si>
  <si>
    <t xml:space="preserve">Campañas Masivas de Promoción del Consumo: Difusión institucional para el fomento nutricional
</t>
  </si>
  <si>
    <t>Promoción comercial, ferias y eventos de mercado</t>
  </si>
  <si>
    <t xml:space="preserve">6.145 unidades productivas </t>
  </si>
  <si>
    <t>Tesoro General de la Nación (TGN) - Fideicomiso</t>
  </si>
  <si>
    <t>Inestabilidad y precios injustos para el productor: Existían asimetrías de poder de negociación entre las industrias procesadoras y los pequeños productores lecheros primarios</t>
  </si>
  <si>
    <t>Desembolsos para capital de inversión y operaciones</t>
  </si>
  <si>
    <t xml:space="preserve"> Al condicionar los beneficios a las industrias al cumplimiento del "Precio Justo" al productor lechero
, se eliminan las asimetrías de negociación asegurando ingresos estables en campo.</t>
  </si>
  <si>
    <t>Certificado de Precio Justo (CPJ): Acreditación obligatoria emitida por el MDPyEP para las industrias beneficiarias</t>
  </si>
  <si>
    <t>Tasas bajas aceleran la industrialización</t>
  </si>
  <si>
    <t xml:space="preserve">Adecuación normativa e internacionalización </t>
  </si>
  <si>
    <t>Proyecto Mercados Inclusivos</t>
  </si>
  <si>
    <t>Proyecto financiado por cooperación suiza y sueca que promueve el desarrollo de modelos de negocio, servicios financieros y microseguros adaptados al cambio climático para productores rurales</t>
  </si>
  <si>
    <t>Mejorar ingresos y empleo</t>
  </si>
  <si>
    <t>Swisscontact / Helvetas</t>
  </si>
  <si>
    <t xml:space="preserve">Transferencias Directas Monetarias: Fondo de nivelación pagado a las industrias para sostener el precio de recolección al lechero primario
</t>
  </si>
  <si>
    <t>Modelos de negocio</t>
  </si>
  <si>
    <t>Capacitación</t>
  </si>
  <si>
    <t>Emprendedores</t>
  </si>
  <si>
    <t>MyPEs y Productores</t>
  </si>
  <si>
    <t xml:space="preserve">Deficiencias técnicas y de infraestructura: Los pequeños lecheros carecían de equipamiento adecuado (tanques de enfriamiento, ordeñadoras) y centros de acopio para garantizar la calidad de la leche cruda
</t>
  </si>
  <si>
    <t xml:space="preserve">Al realizar transferencias no reembolsables de activos (tanques de enfriamiento, ordeñadoras)
, se eleva la calidad e inocuidad de la leche cruda de los pequeños productores.
</t>
  </si>
  <si>
    <t>Turismo, Agro, Gastr.</t>
  </si>
  <si>
    <t>Iniciativas Productivas Lácteas (IPL): Transferencias no reembolsables en especie (tanques de enfriamiento, ordeñadoras mecánicas, tancajes) e infraestructura para asociaciones</t>
  </si>
  <si>
    <t>La Paz, Oruro, Potosí, Sucre y Tarija</t>
  </si>
  <si>
    <t>Empoderamiento mujer</t>
  </si>
  <si>
    <t>25.000 personas</t>
  </si>
  <si>
    <t>Cooperación Int.</t>
  </si>
  <si>
    <t>2007 - Presente</t>
  </si>
  <si>
    <t>Enfoque de multidimensionalidad de la pobreza</t>
  </si>
  <si>
    <t>PROMYPE Fase II</t>
  </si>
  <si>
    <t>Subinversión en complejos productivos estratégicos: Existía una persistente falta de financiamiento de fomento a largo plazo para rubros clave de la economía (agrícola, ganadero, avícola, quinua, azúcar, etc.)</t>
  </si>
  <si>
    <t>Al constituir patrimonios autónomos fiduciarios con fondos del Tesoro General
, se garantiza capital dedicado exclusivamente a la industrialización de rubros estatales prioritarios.</t>
  </si>
  <si>
    <t>Patrimonios Autónomos Fiduciarios: Fondos del TGN constituidos por normas específicas (DS 29145 FDP, DS 0908 FIPOREGA, DS 1878 FIPOREBO/FIBECA, DS 2913 FISEFO)</t>
  </si>
  <si>
    <t>Programa de PRO-BOLIVIA que fortalece MyPEs manufactureras urbanas y periurbanas mediante asistencia técnica, capacitación y la transferencia directa de maquinaria</t>
  </si>
  <si>
    <t>Fortalecer capacidades e innovación</t>
  </si>
  <si>
    <t>Asistencia técnica y activos</t>
  </si>
  <si>
    <t>Exclusión del crédito bancario comercial: Productores micro, pequeños y medianos, así como organizaciones económicas comunitarias, estaban marginados del crédito en condiciones adecuadas</t>
  </si>
  <si>
    <t>Al operar con tasas y condiciones fiduciarias diferenciadas a través de ventanillas de primer y segundo piso
, se viabiliza el financiamiento a unidades marginadas por la banca privada.</t>
  </si>
  <si>
    <t>Contratos de Fideicomiso de Crédito de 1er y 2do Piso: Canalización de liquidez vía BDP-SAM e intermediarias elegibles (CIDRE, IDEPRO, Banco Fortaleza)</t>
  </si>
  <si>
    <t>Subvención / Cofinanciamiento</t>
  </si>
  <si>
    <t>Transferencia de maquinaria y bonos</t>
  </si>
  <si>
    <t>Registro en PRO-BOLIVIA</t>
  </si>
  <si>
    <t>MYPE</t>
  </si>
  <si>
    <t>40% a 50% mujeres</t>
  </si>
  <si>
    <t>1.278 MYPEs</t>
  </si>
  <si>
    <t>Vulnerabilidad ante eventos climáticos: La pérdida recurrente de capital de operaciones e inversión por sequías, inundaciones u otros desastres naturales ponía en riesgo la continuidad productiva</t>
  </si>
  <si>
    <t>Al estructurar líneas específicas de liquidez para capital de operaciones y resguardo
, se protege la continuidad de la producción agrícola e industrial ante pérdidas por eventos naturales.</t>
  </si>
  <si>
    <t>Líneas Crediticias de Emergencia Lote Patujú: Préstamos específicos para repoblamiento bovino, compra de insumos agrícolas y refacción de infraestructura</t>
  </si>
  <si>
    <t>Mixto (TGN/COSUDE)</t>
  </si>
  <si>
    <t>Maquinaria, capacitación</t>
  </si>
  <si>
    <t>El modelo de bonos es altamente efectivo</t>
  </si>
  <si>
    <t>BID Invest / Banco FIE (2022)</t>
  </si>
  <si>
    <t>2016-2020</t>
  </si>
  <si>
    <t xml:space="preserve"> Línea de crédito comercial externa de USD 35 millones para ampliar el financiamiento formal y reducir brechas de acceso al crédito de las MiPymes de Bolivia</t>
  </si>
  <si>
    <t>Línea de Crédito MiPymes</t>
  </si>
  <si>
    <t xml:space="preserve">Baja productividad y brechas de innovación regional: Las Mipymes presentaban serios rezagos en sus procesos productivos, gestión ambiental y acceso a mercados internacionales
</t>
  </si>
  <si>
    <t>BID Invest</t>
  </si>
  <si>
    <t>Al transferir metodologías europeas de productividad e innovación a través de gremios locales (CAINCO, CEPB)
, se acelera la reconversión tecnológica del tejido empresarial.</t>
  </si>
  <si>
    <t xml:space="preserve">Fondos Concursables AFT (Apoyo Financiero a Terceros): Subvenciones europeas para proyectos de desarrollo productivo
</t>
  </si>
  <si>
    <t>Banco FIE</t>
  </si>
  <si>
    <t>Ventanilla bancaria</t>
  </si>
  <si>
    <t>Talleres de Capacitación Técnica Especializada: Cursos de gestión de calidad, buenas prácticas y costos</t>
  </si>
  <si>
    <t>Ser cliente MiPyme FIE</t>
  </si>
  <si>
    <t>MiPymes</t>
  </si>
  <si>
    <t>Aislamiento e individualismo empresarial: Predominaba el trabajo aislado, impidiendo la colaboración horizontal para comprar materias primas o vender en volumen</t>
  </si>
  <si>
    <t>Al implementar la metodología de Núcleos Empresariales liderados por un consejero
, empresas de un mismo rubro cooperan para realizar compras, ventas e innovaciones conjuntas.</t>
  </si>
  <si>
    <t>Metodología de Núcleos Empresariales: Grupos asociativos de Mipymes liderados por un consejero técnico</t>
  </si>
  <si>
    <t>Créditos productivos</t>
  </si>
  <si>
    <t>Alta participación de FIE en garantías BDP (51%)</t>
  </si>
  <si>
    <t>PAR III (Alianzas Rurales)</t>
  </si>
  <si>
    <t>Programa del MDRyT que realiza transferencias público-privadas de infraestructura y tecnología a pequeños productores organizados de áreas rurales vulnerables para mejorar su acceso a mercados</t>
  </si>
  <si>
    <t>Mejorar acceso a mercados rurales</t>
  </si>
  <si>
    <t>Grupos de Trabajo Sectoriales (GTS): Mesas de trabajo para la solución de problemas transversales del rubro</t>
  </si>
  <si>
    <t>EMPODERAR</t>
  </si>
  <si>
    <t>Infraestructura y mercados</t>
  </si>
  <si>
    <t>Debilidad de las organizaciones empresariales (OE): Las cámaras y gremios del sector privado carecían de metodologías estandarizadas y sostenibles para transferir conocimientos técnicos a sus asociados</t>
  </si>
  <si>
    <t xml:space="preserve"> Al capacitar a los gestores de las cámaras gremiales para diseñar e implementar servicios de desarrollo empresarial
, se asegura la oferta sostenible de apoyo técnico privado.</t>
  </si>
  <si>
    <t>Transferencia público-privada</t>
  </si>
  <si>
    <t>Programas de Formación para Gestores de Cámaras (CAINCO, CEPB, CNC): Transferencia metodológica para la oferta sostenible de servicios</t>
  </si>
  <si>
    <t>Planes de alianzas</t>
  </si>
  <si>
    <t>Pequeños productores</t>
  </si>
  <si>
    <t>Agropecuario</t>
  </si>
  <si>
    <t>Nacional (Rural)</t>
  </si>
  <si>
    <t>Género / Jóvenes</t>
  </si>
  <si>
    <t>23.865 productores</t>
  </si>
  <si>
    <t>247.503 personas</t>
  </si>
  <si>
    <t>Herramientas Digitales y Plataformas: Directorios digitales georreferenciados y sistemas CRM/ERP para gremios</t>
  </si>
  <si>
    <t xml:space="preserve"> Digitalización, plataformas informáticas e inteligencia productiva</t>
  </si>
  <si>
    <t>Crédito externo / TGN</t>
  </si>
  <si>
    <t>Infraestructura productiva</t>
  </si>
  <si>
    <t>Alianzas rurales generan empleo rural sostenible</t>
  </si>
  <si>
    <t>Iniciativa 3i Bolivia / Cono Sur</t>
  </si>
  <si>
    <t>2017-2023</t>
  </si>
  <si>
    <t>Proyecto de AL-INVEST Verde orientado a la transición ecológica de pymes bolivianas, promoviendo modelos de negocio sostenibles de triple impacto en el sur del país</t>
  </si>
  <si>
    <t>Baja productividad por maquinaria obsoleta: Las MyPEs manufactureras urbanas y periurbanas operaban con equipamiento antiguo que elevaba los costos y reducía la calidad</t>
  </si>
  <si>
    <t>Al transferir directamente activos productivos (maquinaria y herramientas modernas) a las MyPEs
, se optimiza la capacidad de transformación y acabado en planta.</t>
  </si>
  <si>
    <t>Ayuda en Acción</t>
  </si>
  <si>
    <t>Transferencia Directa de Activos Productivos: Adquisición y entrega física de maquinaria industrial a las MyPEs</t>
  </si>
  <si>
    <t>2024-2026</t>
  </si>
  <si>
    <t>Transición verde</t>
  </si>
  <si>
    <t>Asistencia y Finanzas</t>
  </si>
  <si>
    <t>Servicios empresariales</t>
  </si>
  <si>
    <t>Pymes con potencial</t>
  </si>
  <si>
    <t>MiPymes y asoc.</t>
  </si>
  <si>
    <t>Limitada capacidad de inversión propia: Las microempresas no contaban con capital suficiente para adquirir maquinaria o tecnología de producción limpia por sí solas</t>
  </si>
  <si>
    <t xml:space="preserve"> Al otorgar cofinanciamiento combinando fondos públicos del TGN y cooperación suiza (COSUDE)
, se remueve la barrera de capital inicial para la compra de equipo industrial.
</t>
  </si>
  <si>
    <t>Esquema de Cofinanciamiento Público-Cooperación: Fondo mixto (TGN/COSUDE) para subsidiar la compra de bienes de capital</t>
  </si>
  <si>
    <t>Multisectorial (con enfoque en Transición Verde y Triple Impacto)</t>
  </si>
  <si>
    <t>Chuq, Tja, Pot, LP</t>
  </si>
  <si>
    <t>378 Mipymes</t>
  </si>
  <si>
    <t xml:space="preserve">Deficiencias de formación técnica y gestión: Faltaban programas integrales que combinaran la entrega de activos productivos con capacitación y bonos de asistencia técnica
</t>
  </si>
  <si>
    <t>Al acompañar la entrega de activos con bonos de asistencia técnica en planta
, se asegura que el empresario y sus trabajadores utilicen la nueva maquinaria eficientemente.</t>
  </si>
  <si>
    <t>Bonos de Asistencia Técnica en Planta: Consultorías directas para la optimización de procesos</t>
  </si>
  <si>
    <t>Mipymes verdes fortalecidas</t>
  </si>
  <si>
    <t>Santa Cruz Distrito ZERO</t>
  </si>
  <si>
    <t>Iniciativa de AL-INVEST Verde en Santa Cruz enfocada en guiar a pymes hacia la economía circular, la ecoeficiencia y estrategias de residuo cero</t>
  </si>
  <si>
    <t xml:space="preserve">Diagnósticos de Producción Más Limpia (PML): Asesorías para la reducción de desperdicios e innovación de procesos
</t>
  </si>
  <si>
    <t>Cámara Cantabria</t>
  </si>
  <si>
    <t xml:space="preserve">2017 - Presente
</t>
  </si>
  <si>
    <t>24 meses</t>
  </si>
  <si>
    <t>Economía circular</t>
  </si>
  <si>
    <t>Formalización, certificación, acceso a mercados e internacionalización</t>
  </si>
  <si>
    <t xml:space="preserve">Preferencia por lo importado y contrabando: Existía una débil cultura de consumo de la producción nacional y una fuerte presión competitiva del contrabando y productos importados
</t>
  </si>
  <si>
    <t>Al visibilizar la producción nacional bajo la marca oficial "Hecho en Bolivia"
, se induce un cambio cultural en el consumidor hacia el mercado local.</t>
  </si>
  <si>
    <t>Certificado y Sello Oficial "Hecho en Bolivia": Marca distintiva de acreditación de origen nacional (Ley 947 / DS 3567)</t>
  </si>
  <si>
    <t>Diagnósticos</t>
  </si>
  <si>
    <t>Pymes de Santa Cruz</t>
  </si>
  <si>
    <t>Multisectorial (enfocado en Gestión de Residuos y Sostenibilidad)</t>
  </si>
  <si>
    <t>Santa Cruz</t>
  </si>
  <si>
    <t>200 MiPymes</t>
  </si>
  <si>
    <t>Campañas de Promoción Comercial: Difusión masiva bajo el concepto "Consume lo Nuestro"</t>
  </si>
  <si>
    <t>Estrategias residuo cero</t>
  </si>
  <si>
    <t>Vía Verde (AL-INVEST Verde)</t>
  </si>
  <si>
    <t>Barreras de acceso a compras estatales: Las MyPEs y artesanos enfrentaban dificultades formales y comerciales para colocar sus bienes en los catálogos del Estado y obtener márgenes de preferencia</t>
  </si>
  <si>
    <t>Al otorgar un margen de preferencia del 20% en licitaciones y acceso al Catálogo Electrónico "Compro Hecho en Bolivia"
, se garantiza un mercado reservado para la micro y pequeña empresa.</t>
  </si>
  <si>
    <t>Proyecto de AL-INVEST Verde que asiste a pymes agroforestales para obtener certificaciones internacionales y cumplir con exigencias ambientales europeas para la exportación sostenible</t>
  </si>
  <si>
    <t>Margen de Preferencia del 20%: Incentivo económico directo en la puntuación de licitaciones públicas</t>
  </si>
  <si>
    <t>Preferencias comerciales e inclusión en compras estatales</t>
  </si>
  <si>
    <t>IBCE</t>
  </si>
  <si>
    <t>23 meses</t>
  </si>
  <si>
    <t>Certificación y exportación</t>
  </si>
  <si>
    <t>Catálogo Electrónico "Compro Hecho en Bolivia": Módulo digital de compras estatales para contratación directa a unidades acreditadas</t>
  </si>
  <si>
    <t>Capacitación / Certificación</t>
  </si>
  <si>
    <t>Misiones técnicas</t>
  </si>
  <si>
    <t>Mipymes agroforestales</t>
  </si>
  <si>
    <t>Agroforestal</t>
  </si>
  <si>
    <t>Mujeres y jóvenes</t>
  </si>
  <si>
    <t>Falta de acreditación y certificación de origen: Las unidades económicas no contaban con un registro simplificado que certificara el componente nacional de sus productos</t>
  </si>
  <si>
    <t>Al habilitar un registro digital ágil mediante NIT activo
, las unidades económicas obtienen una certificación legal rápida de su condición de productores nacionales.</t>
  </si>
  <si>
    <t>150 MiPymes</t>
  </si>
  <si>
    <t>Sistema de Registro y Acreditación Digital de PRO-BOLIVIA: Trámite en línea con NIT activo para la verificación de costo bruto de producción</t>
  </si>
  <si>
    <t>Certificaciones export</t>
  </si>
  <si>
    <t>2018 - 2024</t>
  </si>
  <si>
    <t>Ecoeficiencia BDP</t>
  </si>
  <si>
    <t>Créditos sostenibles dirigidos a pymes y grandes empresas para financiar proyectos de energía renovable, eficiencia energética y reducción de residuos químicos peligrosos.</t>
  </si>
  <si>
    <t>Ineficiencia y vulnerabilidad en cadenas rurales: Los pequeños productores rurales de valles y altiplano enfrentaban bajos ingresos por su débil articulación a mercados de consumo e insumos</t>
  </si>
  <si>
    <t xml:space="preserve"> Al desarrollar modelos de negocio entre proveedores privados y agricultores vulnerables
, se abren canales sostenibles de comercialización y provisión de insumos.
</t>
  </si>
  <si>
    <t>Financiar transición energética</t>
  </si>
  <si>
    <t xml:space="preserve">Metodología M4P (Desarrollo de Sistemas de Mercado): Facilitación de acuerdos entre pequeños agricultores y redes comerciales/gastronómicas
</t>
  </si>
  <si>
    <t>Riesgo y vulnerabilidad climática sin cobertura: Inexistencia de productos financieros adaptados, como microseguros agrícolas o créditos verdes, frente a sequías y heladas</t>
  </si>
  <si>
    <t>Al introducir tecnologías adaptativas, microseguros agrícolas y fondos de resiliencia
, se protege el ingreso del productor frente a pérdidas por sequías o heladas.</t>
  </si>
  <si>
    <t>Fondo de Innovación de Mercado (FIM): Fondo de capital reembolsable administrado por Fundación PROFIN</t>
  </si>
  <si>
    <t xml:space="preserve"> Gestión de riesgos, garantías y microseguros</t>
  </si>
  <si>
    <t>Productos Financieros y Microseguros Agrícolas: Microseguros contra eventos climáticos adversos</t>
  </si>
  <si>
    <t>LaPazTec (Prog. Municipal)</t>
  </si>
  <si>
    <t>Programa municipal de La Paz para promover el emprendimiento tecnológico en jóvenes y retener talento, facilitando mentorías y créditos de infraestructura en la nube de AWS.</t>
  </si>
  <si>
    <t>Emprendimiento tecnológico</t>
  </si>
  <si>
    <t>GAMLP (DTI)</t>
  </si>
  <si>
    <t>Desigualdad de género: Las mujeres rurales enfrentaban brechas marcadas para acceder a servicios financieros y participar activamente en la gestión comercial</t>
  </si>
  <si>
    <t xml:space="preserve">Al incorporar el enfoque de empoderamiento económico femenino en la capacitación y comercialización
, se incrementa la participación e ingresos directos de las mujeres rurales.
</t>
  </si>
  <si>
    <t>Módulo de Empoderamiento Económico de la Mujer: Capacitaciones técnicas y de liderazgo adaptadas a productoras rurales</t>
  </si>
  <si>
    <t>Desarrollo de sistemas de mercado con enfoque social y género</t>
  </si>
  <si>
    <t>Innovación y emprendimiento</t>
  </si>
  <si>
    <t>Incubación / Concurso</t>
  </si>
  <si>
    <t>Bootcamp y mentoría</t>
  </si>
  <si>
    <t>Residentes en La Paz</t>
  </si>
  <si>
    <t>Startups y jóvenes</t>
  </si>
  <si>
    <t>2022 - 2027</t>
  </si>
  <si>
    <t>Ideas y Startups</t>
  </si>
  <si>
    <t>Tecnología</t>
  </si>
  <si>
    <t>La Paz</t>
  </si>
  <si>
    <t>Inclusivo</t>
  </si>
  <si>
    <t>Pobreza rural y aislamiento comercial: Pequeños productores agropecuarios marginados no lograban colocar su producción en condiciones ventajosas de mercado</t>
  </si>
  <si>
    <t xml:space="preserve"> Al otorgar transferencias públicas no reembolsables a familias organizadas en zonas vulnerables
, se elevan las capacidades productivas e ingresos de los pequeños agricultores.</t>
  </si>
  <si>
    <t>Transferencias Público-Privadas No Reembolsables: Fondos directos a organizaciones rurales operados por la Unidad EMPODERAR (MDRyT)</t>
  </si>
  <si>
    <t>Presupuesto municipal</t>
  </si>
  <si>
    <t>Créditos nube (AWS)</t>
  </si>
  <si>
    <t>Déficit de infraestructura productiva rural: Falta de caminos vecinales, sistemas de riego, centros de acopio y equipamiento para mitigar riesgos ambientales y garantizar entregas estables</t>
  </si>
  <si>
    <t xml:space="preserve"> Al cofinanciar directamente obras de riego, caminos vecinales y centros de acopio
, se reducen las pérdidas postcosecha y los costos logísticos de transporte.</t>
  </si>
  <si>
    <t>La retención de talento requiere infraestructura nube</t>
  </si>
  <si>
    <t>Financiamiento de Planes de Alianza: Cofinanciamiento de obras de riego, caminos de acceso, centros de acopio y equipamiento pesado</t>
  </si>
  <si>
    <t xml:space="preserve">Falta de acuerdos directos con compradores: Inexistencia de alianzas estratégicas formales entre las organizaciones de productores y las industrias o mercados formales
</t>
  </si>
  <si>
    <t xml:space="preserve"> Al condicionar las transferencias a la firma previa de "alianzas comerciales" con compradores formales
, se garantizan precios justos y ventas aseguradas antes de producir.</t>
  </si>
  <si>
    <t>Convenios de Alianza Comercial: Contratos formales de suministro suscritos previamente entre productores e industrias compradoras</t>
  </si>
  <si>
    <t>2019 - Presente</t>
  </si>
  <si>
    <t>Al estructurar un espacio de mentoría en costos, comercialización y gestión financiera
, se transforman ideas intuitivas en planes de negocio viables para el crédito.</t>
  </si>
  <si>
    <t>Programa de Incubación BDP Lab: Ciclo de estructuración financiera y de costos</t>
  </si>
  <si>
    <t>Incubación, mentores y aceleración de emprendimientos</t>
  </si>
  <si>
    <t>Mentorías Personalizadas: Acompañamiento por mentores expertos en negocios productivos</t>
  </si>
  <si>
    <t>Improvisación y falta de validación de mercado: Los nuevos negocios salían al mercado sin haber probado previamente sus prototipos ni haber recibido mentoria técnica</t>
  </si>
  <si>
    <t>Al ofrecer espacios de prueba de producto y validación antes del desembolso
, el emprendedor ajusta su propuesta a la demanda real reduciendo el riesgo de quiebra.</t>
  </si>
  <si>
    <t>Pruebas de Aceptabilidad de Producto: Testeos de prototipos con consumidores en mercado real</t>
  </si>
  <si>
    <t>Plataformas de Asistencia Digital: Plataformas Aula BDP y Encuentro BDP para capacitación y exposición</t>
  </si>
  <si>
    <t>Desconexión con redes de apoyo e inversión: Los innovadores no disponían de espacios de coworking ni de aceleración para conectarse con otros actores del ecosistema emprendedor</t>
  </si>
  <si>
    <t>Al integrar servicios de coworking y conectar la incubadora de forma directa con el crédito FOCASE
, se asegura el paso inmediato del proyecto validado al desembolso de capital.</t>
  </si>
  <si>
    <t>Espacios de Coworking: Áreas compartidas de trabajo y redes de contacto</t>
  </si>
  <si>
    <t>Puente Financiero Directo: Vinculación de planes aprobados con la ventanilla de desembolso crediticio de FOCASE</t>
  </si>
  <si>
    <t>Capital semilla, riesgo e incubación financiera</t>
  </si>
  <si>
    <t>2020 - Presente</t>
  </si>
  <si>
    <t xml:space="preserve">Parálisis productiva y crisis de liquidez post-pandemia: Las unidades productivas sufrieron una severa iliquidez y contracción de la demanda tras las emergencias sanitarias y económicas
</t>
  </si>
  <si>
    <t>Al inyectar un fondo estatal colocado por el BDP y Banco Unión
, se devuelve la liquidez operativa necesaria para la compra de insumos y contratación de mano de obra.</t>
  </si>
  <si>
    <t>Fideicomiso FIREDIN (DS 4424, DS 4790, DS 4631): Fondo rotatorio ampliado a más de Bs 2.393 millones</t>
  </si>
  <si>
    <t>Alta dependencia de importaciones: La industria nacional importaba volumen considerable de insumos, materias primas y bienes finales que podían ser elaborados localmente</t>
  </si>
  <si>
    <t xml:space="preserve"> Al condicionar el crédito blando exclusivamente a la elaboración de insumos o manufacturas que sustituyan importaciones
, se fomenta la producción e industrialización interna.</t>
  </si>
  <si>
    <t>Reglamento Operativo de Elegibilidad Sectorial: Restricción estricta del crédito únicamente a la elaboración de insumos y manufacturas que sustituyan importaciones</t>
  </si>
  <si>
    <t>Costo elevado del crédito bancario para reactivación: Las tasas de interés comerciales resultaban inviables para empresas golpeadas que requerían crédito blando para sustituir importaciones</t>
  </si>
  <si>
    <t xml:space="preserve">Al fijar una tasa de interés preferencial anual del 0,5% fija
, se reduce drásticamente el costo de endeudamiento, viabilizando proyectos de recuperación e inversión.
</t>
  </si>
  <si>
    <t>Crédito a Tasa Fija Anual del 0,5%: Tasa preferencial de fomento financiada con fondos fiduciarios</t>
  </si>
  <si>
    <t>Exclusión de emprendimientos nacientes: El sistema bancario tradicional rechazaba solicitudes de crédito para negocios en etapa inicial o embrionaria por la falta de historial financiero o estados financieros auditados</t>
  </si>
  <si>
    <t>Al destinar por norma un porcentaje de las utilidades bancarias para constituir un fondo de fomento
, se otorga financiamiento de arranque a negocios sin historial financiero previo.</t>
  </si>
  <si>
    <t>Ventanillas de Colocación Directa: Operación exclusiva a través de agencias del BDP-S.A.M. y Banco Unión</t>
  </si>
  <si>
    <t>2021 - Presente</t>
  </si>
  <si>
    <t>Fondo FOCASE (RM 055/2017 / DS 3459): Fondo constituido con aportes obligatorios del 3% y 6% de utilidades bancarias</t>
  </si>
  <si>
    <t>Barreras para jóvenes profesionales y técnicos: Existía un universo de estudiantes, técnicos e innovadores con capacidad de emprendimiento pero sin acceso a un "capital de arranque"</t>
  </si>
  <si>
    <t>Al exigir el título o aval de formación técnica/profesional como requisito principal de acceso
, se reconoce el capital humano del emprendedor en sustitución de garantías reales.</t>
  </si>
  <si>
    <t>Criterios de Elegibilidad por Capital Humano: Aceptación de títulos académicos, certificados o avales de formación técnica en lugar de colaterales reales</t>
  </si>
  <si>
    <t>Alta mortandad de empresas: Gran parte de los emprendimientos quebraba antes de consolidarse al tener que recurrir a prestamistas informales o agotar sus ahorros</t>
  </si>
  <si>
    <t>Al proveer crédito blando en la etapa crítica de despegue
, el emprendimiento cubre sus costos fijos iniciales hasta alcanzar la viabilidad en ventas.</t>
  </si>
  <si>
    <t>Créditos Directos de Despegue: Desembolsos orientados a cubrir gastos de arranque e inversión productiva inicial</t>
  </si>
  <si>
    <t>2021-Presente</t>
  </si>
  <si>
    <t>Fuga de talento joven e innovador: Pérdida de capacidades y emprendedores tecnológicos que migran o abandonan proyectos por falta de apoyo local</t>
  </si>
  <si>
    <t>Al consolidar un programa público de fomento al emprendimiento tecnológico
, se crean incentivos para que los jóvenes construyan y mantengan sus startups en La Paz.</t>
  </si>
  <si>
    <t>Convocatoria Pública "Reto LaPazTec Bicentenario": Concurso municipal abierto de emprendimiento digital (GAMLP / OGP)</t>
  </si>
  <si>
    <t xml:space="preserve">Alta mortandad de startups tecnológicas: Fracaso temprano de emprendimientos digitales por falta de espacios de aceleración, mentorías especializadas y financiamiento de infraestructura en la nube (AWS)
</t>
  </si>
  <si>
    <t xml:space="preserve"> Al otorgar bootcamps, mentorías especializadas y créditos de infraestructura en la nube de AWS
, se reducen los costos fijos de arranque permitiendo validar y escalar el software en mercado.</t>
  </si>
  <si>
    <t>Bootcamps Intensivos y Mentorías Especializadas: Talleres de modelo de negocio y estrategia de mercado</t>
  </si>
  <si>
    <t xml:space="preserve">Evento "Pitch Elevator": Presentación final ante comités evaluadores e inversionistas
</t>
  </si>
  <si>
    <t xml:space="preserve">Créditos en Servicios de Nube de AWS: Otorgación directa de créditos de infraestructura en Amazon Web Services a los proyectos ganadores
</t>
  </si>
  <si>
    <t>2022 - Presente</t>
  </si>
  <si>
    <t>Sostenibilidad, transición verde y economía circular</t>
  </si>
  <si>
    <t>Inadecuada gestión energética y ambiental en la industria: Altos costos operativos por consumo ineficiente de electricidad, combustibles y agua, y mala gestión de residuos contaminantes
.</t>
  </si>
  <si>
    <t>Al financiar proyectos de energía renovable, eficiencia energética y ahorro de agua
, las empresas reducen sus gastos operativos amortizando el financiamiento.</t>
  </si>
  <si>
    <t>Línea de Crédito Verde "Ecoeficiencia BDP": Préstamos dedicados al financiamiento de paneles solares, calderas eficientes y sistemas de ahorro de agua</t>
  </si>
  <si>
    <t>conomía circular, ecoeficiencia y residuo cero</t>
  </si>
  <si>
    <t>Inexistencia de oferta crediticia verde: El sistema financiero tradicional no ofrecía préstamos blando con condiciones específicas para proyectos de eficiencia energética o tecnologías bajas en carbono</t>
  </si>
  <si>
    <t>Al estructurar una Taxonomía Verde y un Sistema de Gestión Ambiental (SARAS) respaldados con fondos globales (GEF)
, se crea una oferta sostenible de "créditos verdes" con condiciones ventajosas.</t>
  </si>
  <si>
    <t>Taxonomía Verde BDP: Clasificación de actividades e inversiones ambientalmente elegibles</t>
  </si>
  <si>
    <t>Finanzas verdes y taxonomía sostenible</t>
  </si>
  <si>
    <t>Sistema SARAS y MRV: Herramientas de evaluación del riesgo ambiental y de Medición, Reporte y Verificación respaldadas por GEF/PNUD</t>
  </si>
  <si>
    <t>Diagnósticos, auditorías ambientales y medición de impacto</t>
  </si>
  <si>
    <t>Brecha de crédito comercial privado: Insuficiente oferta de liquidez bancaria de mediano plazo dedicada de forma exclusiva al crecimiento de las MiPymes en el sistema privado</t>
  </si>
  <si>
    <t xml:space="preserve">Al canalizar una línea de crédito multilateral de USD 35 millones a la banca privada
, se expande la liquidez de mediano plazo dedicada a préstamos productivos al segmento MiPyme.
</t>
  </si>
  <si>
    <t>Línea de Crédito Comercial Bilateral: Fondo directo de USD 35 millones desembolsado por BID Invest a Banco FIE</t>
  </si>
  <si>
    <t>Barreras para la escala empresarial: Dificultades de las pequeñas empresas para acceder a montos de inversión requeridos para su expansión productiva</t>
  </si>
  <si>
    <t>Al inyectar fondeo internacional a un banco especializado en microfinanzas
, se otorgan montos y plazos adecuados a las empresas listas para dar un salto de escala.</t>
  </si>
  <si>
    <t xml:space="preserve">Productos Crediticios de Mediano Plazo: Préstamos apalancados con la cobertura de garantías BDP
</t>
  </si>
  <si>
    <t>Alta generación e ineficiencia en el manejo de residuos: Las Pymes cruceñas desechaban volumen considerable de residuos aprovechables, incrementando la contaminación y los costos de operación
.</t>
  </si>
  <si>
    <t>Al realizar mapeos y encuestas diagnósticas en las cadenas de valor cruceñas
, se identifican y cuantifican los volúmenes de residuos reutilizables por sector.</t>
  </si>
  <si>
    <t xml:space="preserve">Auditorías de Flujo de Materiales: Mapeos técnicos de generación de residuos en cadenas productivas urbanas
</t>
  </si>
  <si>
    <t>Desconocimiento de la economía circular: Falta de asistencia técnica diagnóstica para reintroducir residuos en los procesos de producción y alcanzar metas de "residuo cero"
.</t>
  </si>
  <si>
    <t>Al transferir metodologías especializadas de sostenibilidad ambiental a Pymes urbanas
, las empresas reintroducen sus desechos en los procesos productivos reduciendo costos de insumos.</t>
  </si>
  <si>
    <t>Asesorías Especializadas en Ecodiseño y Simbiosis Industrial: Planes técnicos para reintroducir residuos en el ciclo de producción</t>
  </si>
  <si>
    <t>Formulación de Estrategias de Residuo Cero: Hojas de ruta para Pymes desarrolladas por Cámara Cantabria y Fundares</t>
  </si>
  <si>
    <t>Nuevas barreras de acceso a la Unión Europea: Exigencias estrictas de no deforestación, huella de carbono e inocuidad impuestas a los productos agroforestales</t>
  </si>
  <si>
    <t xml:space="preserve"> Al capacitar en normativas de no-deforestación, trazabilidad e inocuidad
, se adecua técnicamente la oferta agroforestal boliviana a los requerimientos de la UE.</t>
  </si>
  <si>
    <t>Misiones Técnicas de Capacitación Normativa: Cursos sobre el reglamento de libre deforestación de la UE (EUDR) e inocuidad</t>
  </si>
  <si>
    <t>Deficiencias de información y plataforma de exportación: Las Mipymes agroforestales carecían de orientación digital y capacitación para cumplir con las normativas internacionales</t>
  </si>
  <si>
    <t>Al implementar una plataforma digital de orientación comercial y certificaciones
, se visibilizan las Pymes bolivianas ante importadores internacionales.</t>
  </si>
  <si>
    <t>Plataforma Digital de Orientación Exportadora Sostenible: Portal interactivo para guiar los pasos de exportación limpia a Europa</t>
  </si>
  <si>
    <t>Campañas de Comunicación Internacional: Promoción de la oferta agroforestal liderada por el IBCE</t>
  </si>
  <si>
    <t>Modelos productivos ambientalmente insostenibles: Las Pymes agroindustriales operaban bajo esquemas convencionales que generaban deforestación y altas emisiones</t>
  </si>
  <si>
    <t>Al capacitar e implementar prácticas agrícolas e industriales libres de deforestación
, las Mipymes reducen su impacto ecológico en regiones vulnerables.</t>
  </si>
  <si>
    <t>Diagnósticos Ambientales Diagnósticos: Evaluaciones en predios e industrias sobre buenas prácticas agrícolas y deforestación</t>
  </si>
  <si>
    <t xml:space="preserve">Falta de transición hacia el triple impacto: Dificultad para integrar la sostenibilidad ambiental y social como un factor de ventaja competitiva en regiones vulnerables como el sur de Bolivia
</t>
  </si>
  <si>
    <t>Al adaptar los servicios empresariales hacia la sostenibilidad ambiental y social
, las empresas acceden a modelos de negocio más resilientes y valorados.</t>
  </si>
  <si>
    <t xml:space="preserve">Fondo de Subvención AL-INVEST Verde: Cofinanciamiento europeo para proyectos de transición ecológica
</t>
  </si>
  <si>
    <t>Planes de Acompañamiento Empresarial de Triple Impacto: Asistencias para equilibrar metas económicas, sociales y ambientales</t>
  </si>
  <si>
    <t xml:space="preserve">Barreras de certificación ecológica: Ausencia de sellos y trazabilidad ambiental requeridos para posicionar productos en mercados de exportación
</t>
  </si>
  <si>
    <t>Al brindar asistencia técnica para la obtención de sellos verdes
, se viabiliza la inserción de las Pymes en cadenas de exportación de mayor valor agregado.</t>
  </si>
  <si>
    <t>Asistencias Técnicas en Trazabilidad y Medición de Huella: Implementación de sistemas para la obtención de sellos verdes</t>
  </si>
  <si>
    <t>Subsector</t>
  </si>
  <si>
    <t>Problema (específico del sector)</t>
  </si>
  <si>
    <t>Instrumento o herramienta</t>
  </si>
  <si>
    <t>Descripción de intrumento o herramienta</t>
  </si>
  <si>
    <t>Existían severas deficiencias en las habilidades gerenciales, administrativas, contables y de conocimiento de mercado en los empresarios industriales, microempresarios y artesanos</t>
  </si>
  <si>
    <t>Si se otorgan bonos subsidiados de capacitación y asesoramiento gerencial (a través de los módulos Mejorar e Innovar), el microempresario elegirá libremente la oferta de formación en gestión, contabilidad e instrumentos administrativos que mejor se adapte a su negocio, adoptando competencias gerenciales directas que profesionalicen su unidad económica</t>
  </si>
  <si>
    <t>Programa "Mejorar"</t>
  </si>
  <si>
    <t>Operaba mediante bonos de capacitación otorgados a los microempresarios para cofinanciar cursos a elección en áreas de gestión empresarial, contabilidad y administración técnica de sus oficios</t>
  </si>
  <si>
    <t>Las empresas manufactureras sufrían de baja eficiencia y falta de modernización en sus procesos productivos para adecuar la oferta a las exigencias del mercado interno y externo</t>
  </si>
  <si>
    <t>Si se cofinancian diagnósticos evaluativos de producción e innovación técnica en planta (Programa Innovar) impartidos por expertos privados, la MyPE identificará sus cuellos de botella tecnológicos y aplicará mejoras operativas y de calidad que elevarán su eficiencia y rendimiento productivo</t>
  </si>
  <si>
    <t>Programa "Innovar"</t>
  </si>
  <si>
    <t>Ofrecía apoyo para la elaboración de diagnósticos evaluativos de producción en planta, la formulación de un plan de desarrollo empresarial y el acceso a bonos de asistencia técnica contratados con expertos en el negocio</t>
  </si>
  <si>
    <t>Faltaba una oferta cualificada y transparente de servicios no financieros y consultoría técnica privada adaptada a las necesidades específicas de la micro y pequeña industria</t>
  </si>
  <si>
    <t>Si el Estado asume una función de entidad de "tercer piso" (normando, acreditando e intermediando recursos mediante el registro de ICAPs y el Programa Fortalecer la Oferta) en lugar de prestar servicios directamente, se estimulará la oferta privada de consultores e institutos técnicos, garantizando un mercado transparente, diverso y sostenible de servicios empresariales</t>
  </si>
  <si>
    <t>Programa "Fortalecer la Oferta" y Registro de ICAPs</t>
  </si>
  <si>
    <t>Mecanismo institucional donde el SAT actuaba como entidad de "tercer piso", creando un padrón oficial para la acreditación y registro de Instituciones y Consultores de Capacitación (ICAPs) privados, dinamizando la oferta técnica del mercado</t>
  </si>
  <si>
    <t>Las entidades públicas y privadas que prestaban servicios de desarrollo empresarial operaban con escasa eficiencia</t>
  </si>
  <si>
    <t>Si se transfiere la administración operativa de los servicios a entidades e institutos privados bajo un mecanismo de subsidio a la demanda por bonos/vouchers, se eliminará la ineficiencia burocrática estatal y la oferta de capacitación se ajustará dinámicamente a los requerimientos reales del mercado</t>
  </si>
  <si>
    <t>Sistema de Bonos o Vouchers Subsidiados</t>
  </si>
  <si>
    <t>Mecanismo de financiamiento donde el Estado no prestaba el servicio directamente, sino que entregaba bonos al productor para subsidiar parcialmente la contratación de servicios privados, introduciendo competencia y libertad de elección
.</t>
  </si>
  <si>
    <t xml:space="preserve"> Prevalecían barreras administrativas e impedimentos burocráticos que frenaban la creación de nuevas industrias y la modernización empresarial</t>
  </si>
  <si>
    <t xml:space="preserve">Si se implementa la Cédula Empresarial (Programa Informar) como acreditación única e identificación simplificada, combinada con la desconcentración en Unidades Operativas Desconcentradas a nivel departamental, se reducirán los tiempos de procesamiento y costos administrativos de transacción para acceder a los beneficios del Estado
</t>
  </si>
  <si>
    <t>Programa "Informar" y la Cédula Empresarial</t>
  </si>
  <si>
    <t xml:space="preserve">Acreditación e identificación simplificada que se otorgaba al microempresario para acceder ágilmente a los programas del SAT, complementado con la atención en Unidades Operativas Desconcentradas a nivel departamental
</t>
  </si>
  <si>
    <t>Existía un desempeño predominantemente individual entre los productores, lo que impedía la conformación de consorcios, cooperativas, subcontrataciones o esquemas de compras y ventas conjuntas</t>
  </si>
  <si>
    <t>Si se otorgan bonos para diagnósticos y planes de desarrollo asociativo (Programa Asociar), las MyPEs tendrán incentivos económicos directos para conformar consorcios, cooperativas, redes de subcontratación y esquemas de compras/ventas conjuntas, logrando economías de escala y mayor poder de negociación</t>
  </si>
  <si>
    <t xml:space="preserve">Programa "Asociar": </t>
  </si>
  <si>
    <t xml:space="preserve"> Financiaba la elaboración de diagnósticos y planes de desarrollo asociativo, otorgando bonos para apoyar compras/ventas conjuntas, creación de cooperativas, consorcios o redes de subcontratación
.</t>
  </si>
  <si>
    <t>Las MyPEs manufactureras enfrentaban barreras para comercializar sus bienes, desarrollar marcas, acceder a programas de promoción de exportaciones no tradicionales e integrarse en las cadenas productivas</t>
  </si>
  <si>
    <t>Si se cofinancian estudios de comercialización, diseño de marcas y participación en ferias comerciales (Programa Mercados / Ampliar Mercados), los pequeños productores desarrollarán canales de venta efectivos, adaptarán sus productos a la demanda del consumidor y se integrarán en cadenas de distribución locales e internacionales</t>
  </si>
  <si>
    <t>Programa "Mercados" (o "Ampliar Mercados")</t>
  </si>
  <si>
    <t>Otorgaba bonos y asistencia técnica especializada para diagnósticos comerciales, diseño de marcas, posicionamiento de productos y participación de las MyPEs en ferias comerciales
.</t>
  </si>
  <si>
    <t>Dificultades de acceso e inclusión de mujeres y jóvenes en la iniciativa empresarial industrial y artesanal</t>
  </si>
  <si>
    <t>Si se establece un esquema de acceso abierto para cualquier emprendedor mayor de 18 años acreditado y se cofinancia la capacitación en diversos oficios (confección, tejido, carpintería, metalmecánica), se logrará una inclusión masiva y equitativa de mujeres (superando el 60%) y jóvenes (alrededor del 20%) en la actividad productiva y en la generación de empleo</t>
  </si>
  <si>
    <t>Programa "Emprender" y Bonos de Capacitación Técnica en Oficios</t>
  </si>
  <si>
    <t>Esquema de bonos de formación accesible que financió masivamente cursos en talleres operados por privados en rubros como confección, tejido, carpintería y metalmecánica, registrando una alta participación de mujeres y jóvenes
.</t>
  </si>
  <si>
    <t>Las MyPEs formales enfrentaban un severo racionamiento del crédito en el sistema financiero tradicional por falta de garantías convencionales e historial bancario</t>
  </si>
  <si>
    <t>Convenio de Préstamo BID 1020/SF-BO</t>
  </si>
  <si>
    <t>Fondo multilateral asignado para intermediación financiera</t>
  </si>
  <si>
    <t>Ventanilla crediticia BDP/NAFIBO a EIFs</t>
  </si>
  <si>
    <t>Canalización de fondos a través de Instituciones Financieras de Desarrollo y banca de segundo piso</t>
  </si>
  <si>
    <t>La oferta crediticia comercial se limitaba a plazos muy cortos e intereses elevados que impedían la inversión en activos fijos</t>
  </si>
  <si>
    <t>Subprogramas de Crédito Productivo</t>
  </si>
  <si>
    <t>Líneas de financiamiento fomento con plazos de mediano y largo plazo</t>
  </si>
  <si>
    <t>Los esfuerzos de financiamiento no estaban acompañados de servicios de asistencia técnica y desarrollo empresarial para garantizar la sostenibilidad y reconversión productiva</t>
  </si>
  <si>
    <t>Componente de Cooperación Técnica No Reembolsable</t>
  </si>
  <si>
    <t xml:space="preserve"> Paquete de servicios de desarrollo empresarial acoplado a la concesión de préstamos</t>
  </si>
  <si>
    <t>Sector Agropecuario y Agroindustrial</t>
  </si>
  <si>
    <t xml:space="preserve">Sector Industrial Manufacturero
</t>
  </si>
  <si>
    <t>Madera y sus manufacturas</t>
  </si>
  <si>
    <t>Existía una profunda dispersión y desconexión geográfica y comercial entre los proveedores de materia prima en las regiones boscosas (Santa Cruz, Beni, Pando) y las industrias de transformación secundaria en las zonas de consumo (La Paz, Cochabamba, Altiplano), elevando el precio de la madera hasta en un 20% para los carpinteros</t>
  </si>
  <si>
    <t>Si se institucionalizan mesas de concertación interdepartamentales de la cadena y convenios de abastecimiento preferencial bajo la Agenda de Responsabilidad Compartida (ARCO), se integrarán los eslabones primario y secundario, garantizando un flujo continuo y directo de madera aserrada legal y estandarizada a precios competitivos hacia las carpinterías locales</t>
  </si>
  <si>
    <t>Acuerdo Boliviano de Competitividad (ABC) y Agenda de Responsabilidad Compartida (ARCO) de la Cadena de Madera</t>
  </si>
  <si>
    <t>Convenios de abastecimiento preferencial y mesas de concertación público-privadas interdepartamentales que articularon directamente a las concesiones forestales, TCOs y aserraderos con los talleres de carpintería urbana para asegurar la provisión de madera legal</t>
  </si>
  <si>
    <t>Más de 12.000 unidades productivas madereras operaban en la informalidad (solo el 10% de las micro y pequeñas empresas estaba legalmente registrada), lo que limitaba su capacidad de asociatividad, acceso a la banca y ventas corporativas o estatales</t>
  </si>
  <si>
    <t>Si se implementan Acuerdos de Competitividad Municipales (ABCM) de simplificación de trámites y se ofrece el acceso al crédito, a las compras públicas ("Compro Boliviano") y al Programa de Maquicentros como incentivo condicionado a la formalización, las microempresas informales se asociarán en consorcios productivos de escala legalmente constituidos</t>
  </si>
  <si>
    <t>Acuerdos Bolivianos de Competitividad Municipales (ABCM) y Programa Nacional de Simplificación de Trámites
.</t>
  </si>
  <si>
    <t>Creación de ventanillas únicas municipales para el registro acelerado de empresas, condicionando el acceso a compras estatales ("Compro Boliviano") y programas técnicos a la formalización de los talleres</t>
  </si>
  <si>
    <t>Las empresas madereras sufrían una severa restricción de liquidez debido a que la concesión forestal era inembargable por ley (impidiendo usar el bosque como garantía bancaria), y la banca privada exigía garantías colaterales tradicionales inaccesibles para las MyPEs</t>
  </si>
  <si>
    <t>Si se canalizan mecanismos de financiamiento no convencionales (fondos fiduciarios BDP/NAFIBO, capital de riesgo y fondos de garantía sectoriales), los productores y carpinteros obtendrán el capital de operaciones necesario para financiar el acopio de materia prima y sus ciclos de producción sin depender de colaterales hipotecarios rígidos</t>
  </si>
  <si>
    <t>Fondos Fiduciarios de Financiamiento Productivo y Garantías No Convencionales (BDP / NAFIBO)</t>
  </si>
  <si>
    <t>Líneas de crédito de segundo piso y fondos fiduciarios respaldados por la CAF y el Estado que no exigían garantías colaterales hipotecarias rígidas sobre la tierra forestal</t>
  </si>
  <si>
    <t>El transporte representaba hasta el 21% del precio final de la madera de exportación (y hasta el 41% en la fase de extracción inicial) debido al mal estado de la red caminera secundaria y de acceso al bosque, paralizando las actividades durante la época de lluvias</t>
  </si>
  <si>
    <t>Si el Estado asume compromisos vinculantes en la matriz ARCO para la inversión prioritaria en la construcción, mejoramiento y mantenimiento continuo de carreteras troncales y caminos vecinales forestales, se reducirán significativamente los fletes de transporte, se estabilizará el abastecimiento de troncas y se evitará la carga financiera de mantener inventarios paralizados</t>
  </si>
  <si>
    <t>Matriz de Inversión Pública de la ARCO (Infraestructura y Logística)</t>
  </si>
  <si>
    <t xml:space="preserve">Compromisos presupuestarios vinculantes asumidos por el Estado para el mantenimiento y construcción prioritaria de carreteras troncales y accesos vecinales forestales (como el tramo Pailón-San José)
</t>
  </si>
  <si>
    <t>El equipamiento de la transformación primaria y secundaria registraba una obsolescencia superior a los 25 años, con precarias o inexistentes técnicas de secado y preservación de la madera, lo que generaba rendimientos bajos y productos propensos a deformaciones</t>
  </si>
  <si>
    <t>Si se aplican incentivos tributarios (arancel e IVA cero para la importación de maquinaria industrial
) y se extiende la asistencia técnica a través del Centro de Servicios Industriales de la Cámara Forestal (CFB) y centros tecnológicos (CITEs/CETIPs), las unidades madereras modernizarán sus sierras, aumentarán el rendimiento por troza y resolverán el cuello de botella del secado</t>
  </si>
  <si>
    <t>Programa de Incentivos a la Incorporación Tecnológica (Arancel e IVA Cero) y CITE / CETIP Madera</t>
  </si>
  <si>
    <t>Exención arancelaria e impositiva diferida para la importación de maquinaria industrial, complementada con servicios de extensión técnica y hornos de secado en plantas piloto</t>
  </si>
  <si>
    <t>Las empresas exportadoras del rubro sufrían severas iliquideces por las demoras administrativas (promedio de 116 días) en la devolución de los Certificados de Devolución Impositiva (CEDEIM) y por la rigidez en los permisos para usar insumos químicos controlados requeridos en el barnizado y acabado de muebles</t>
  </si>
  <si>
    <t>Si se establece un mecanismo simplificado y expedito para la restitución oportuna del CEDEIM a exportadores directos e indirectos y se agiliza la regulación burocrática sobre sustancias controladas para acabados industriales, se restaurará el flujo de caja de las empresas exportadoras y se elevará la calidad de presentación de las manufacturas de exportación</t>
  </si>
  <si>
    <t>Mecanismo de Devolución Acelerada de CEDEIMs y Régimen Especial de Sustancias Controladas de la ARCO</t>
  </si>
  <si>
    <t xml:space="preserve">Procedimientos administrativos expeditos acordados en las matrices del ABC para reducir los tiempos de restitución del crédito fiscal exportador y simplificar los permisos de insumos químicos para acabado
</t>
  </si>
  <si>
    <t xml:space="preserve">Cuero y sus manufacturas
</t>
  </si>
  <si>
    <t>El inadecuado cuidado zoosanitario en las propiedades ganaderas (marcas de fuego, parásitos) y las precarias condiciones de desuello en mataderos no regulados generaban severos cortes y marcas que depreciaban la piel cruda</t>
  </si>
  <si>
    <t>Si se implementan baños de inmersión contra parásitos en fincas, se clausuran los mataderos clandestinos y se aplican normas de control sanitario y faeneo adecuado en frigoríficos, se garantizará la recolección de pieles sanas y sin defectos físicos, elevando el valor bruto de la materia prima para toda la cadena</t>
  </si>
  <si>
    <t>Programa de Control Zoosanitario y Regulaciones de Faeneo (SENASAG / Comités de Cadena)</t>
  </si>
  <si>
    <t>Normativas y baños de inmersión ganaderos dictados e implementados en frigoríficos regulados para eliminar las marcas de fuego y parásitos que dañaban la piel cruda
.</t>
  </si>
  <si>
    <t>Las curtiembres operaban con elevada capacidad ociosa debido a la escasez de cueros crudos y a la heterogeneidad en su conservación y grosor, viéndose obligadas a procesar lotes de baja calidad que encarecían el curtido</t>
  </si>
  <si>
    <t>Si se conforma una Comisión Técnica para establecer una escala oficial de clasificación de cueros por peso y calidad e instalar el Centro Tecnológico del Cuero con un laboratorio de calibración y metrología acreditado, se estandarizará el suministro de cuero wet blue e industrializado, optimizando el rendimiento de procesamiento en planta</t>
  </si>
  <si>
    <t xml:space="preserve"> Comisión Técnica de Clasificación de Cueros y Centro Tecnológico del Cuero (CITE / CETIP Cuero)</t>
  </si>
  <si>
    <t>Establecimiento de la tabla oficial de clasificación por peso/calidad e instalación de laboratorios acreditados de metrología y ensayos físicos para el tratamiento homogéneo del cuero wet blue</t>
  </si>
  <si>
    <t>El eslabón de manufactura final estaba fragmentado en más de 100 pequeños talleres informales sin capacidad individual de escala, diseño técnico de calzado ni estandarización de procesos</t>
  </si>
  <si>
    <t>Si se promueve la asociatividad en consorcios de exportación y la integración de los pequeños talleres en Maquicentros / Centros de Maquila apoyados por la Bolsa de Subcontratación, las microempresas elevarán su productividad, compartirán maquinaria de corte/costura y accederán conjuntamente a contratos corporativos e internacionales</t>
  </si>
  <si>
    <t>Programa de Maquicentros (Centros de Maquila), Bolsa de Subcontratación y Consorcios de Exportación
.</t>
  </si>
  <si>
    <t>Espacios físicos equipados con maquinaria compartida donde pequeños talleres informales se asociaban para maquilar en escala y abastecer pedidos industriales o de exportación</t>
  </si>
  <si>
    <t xml:space="preserve">Las fábricas y talleres nacionales enfrentaban una severa reducción del mercado interno por la competencia desleal del calzado de contrabando y la masiva penetración de calzado sintético de bajo precio
</t>
  </si>
  <si>
    <t>Si el Estado ejecuta un control estricto en aduanas fronterizas y mercados locales contra el contrabando de calzado e insumos, sumado a la promoción de marcas colectivas y la campaña "Consuma lo Nuestro", se recuperará el mercado interno para el calzado nacional elaborado con cuero legítimo</t>
  </si>
  <si>
    <t>Estrategia de Protección del Mercado Interno y Campañas "Consuma lo Nuestro / Compro Boliviano"</t>
  </si>
  <si>
    <t>Refuerzo de controles fronterizos aduaneros e incentivos de preferencia comercial pública para el calzado manufacturado con cuero 100% nacional</t>
  </si>
  <si>
    <t>Las empresas manufactureras y curtiembres sufrían problemas de liquidez debido a las elevadas tasas de interés bancarias, la falta de garantías colaterales tradicionales y la ausencia de líneas crediticias para financiar la preparación y envío de pedidos de exportación</t>
  </si>
  <si>
    <t>Si se constituye un Fondo de Financiamiento y Garantías con recursos públicos para la industria del cuero, que disponga de créditos para pre y post embarque, capital de riesgo y la agilización de incentivos tributarios como el CEDEIM y el RITEX, se garantizará la liquidez operativa necesaria para cumplir con los ciclos de producción y comercialización internacional</t>
  </si>
  <si>
    <t>Fondo de Financiamiento y Garantías para la Cadena del Cuero y Régimen RITEX / CEDEIM</t>
  </si>
  <si>
    <t>Fondo público de garantías para créditos de pre/post embarque y agilización del Régimen de Internación Temporal para insumos de exportación</t>
  </si>
  <si>
    <t xml:space="preserve">Textiles y confecciones
</t>
  </si>
  <si>
    <t>La drástica reducción de la superficie cultivada de algodón por el endeudamiento de los agricultores y los elevados costos de producción paralizó las desmotadoras y debilitó el suministro de fibra nacional para las hilanderías</t>
  </si>
  <si>
    <t>Si se implementan programas de apoyo técnico e incentivos financieros dirigidos a la Asociación de Productores de Algodón (ADEPA), en articulación directa con las demandas de insumos de las hilanderías locales, se incrementará la superficie de siembra y el rendimiento por hectárea, asegurando el abastecimiento continuo de fibra de algodón de calidad a precios competitivos</t>
  </si>
  <si>
    <t xml:space="preserve">Convenio de Integración Agroindustrial de la Cadena Textil (ADEPA - Ministerio de Desarrollo Económico)
</t>
  </si>
  <si>
    <t>Esquema de compras anticipadas y asistencia técnica en semillas para la Asociación de Productores de Algodón, vinculando su cosecha a la demanda directa de las hilanderías</t>
  </si>
  <si>
    <t>Un grupo importante de plantas hilanderas operaba con tecnología antigua, sobredimensionamiento de capacidad instalada y un elevado endeudamiento bancario que comprometía su patrimonio e impedía la compra de materia prima</t>
  </si>
  <si>
    <t>Si se aplican procesos de reestructuración patrimonial (mediante la Ley de Reestructuración de Empresas) combinados con incentivos de arancel e IVA cero para la importación de bienes de capital y acceso a capital de operaciones, se reactivarán las plantas hilanderas paralizadas, modernizando su parque tecnológico y reduciendo los costos unitarios de hiladura</t>
  </si>
  <si>
    <t xml:space="preserve">Ley de Reestructuración Patrimonial de Empresas e Incentivos de Arancel/IVA Cero a Bienes de Capital
</t>
  </si>
  <si>
    <t>Mecanismo legal para la reprogramación de pasivos bancarios de plantas paralizadas, combinado con exención fiscal para la importación de nuevas máquinas de hilado
.</t>
  </si>
  <si>
    <t>El ingreso masivo de ropa usada y la entrada de confecciones de contrabando sin pago de aranceles mermaban la capacidad del mercado interno, desplazando las prendas de vestir elaboradas por la industria y los talleres nacionales</t>
  </si>
  <si>
    <t>Si el Estado aplica un control aduanero estricto contra el contrabando de ropa usada e introduce reservas de mercado a través de las compras estatales (como uniformes y ropa militar vía "Ferias a la Inversa" y preferencias nacionales), se recuperará la demanda efectiva del mercado interno para las manufacturas textiles bolivianas</t>
  </si>
  <si>
    <t xml:space="preserve">Programa de Compras Estatales ("Ferias a la Inversa") y Decretos de Restricción Comercial
</t>
  </si>
  <si>
    <t>Asignación reservada de licitaciones públicas (uniformes militares, escolares e institucionales) a la confección nacional, junto con controles sobre la ropa usada importada</t>
  </si>
  <si>
    <t>Existía una profunda dificultad para que las industrias exportadoras ("locomotoras") subcontrataran a las micro y pequeñas empresas artesanales, debido a la informalidad, la falta de estandarización en la calidad de costura y los riesgos en los tiempos de entrega</t>
  </si>
  <si>
    <t>Si se crean Maquicentros / Centros de Maquila y se fortalece la Bolsa de Subcontratación (respaldados con un Fondo Financiero para Encadenamientos Productivos), los pequeños talleres se asociarán y formalizarán en espacios físicos equipados, alcanzando los estándares de calidad e higiene industrial requeridos para integrarse eficientemente a las cadenas de exportación</t>
  </si>
  <si>
    <t>Bolsa de Subcontratación, CASUBS (Centros de Asesoramiento a la Subcontratación) y Fondo Financiero para Encadenamientos Productivos</t>
  </si>
  <si>
    <t>Red de centros de información e intermediación que conectaba a grandes industrias exportadoras ("locomotoras") con redes de microtalleres artesanales capacitados en Maquicentros</t>
  </si>
  <si>
    <t xml:space="preserve"> Sector Servicios</t>
  </si>
  <si>
    <t>Turismo</t>
  </si>
  <si>
    <t>Sector Industrial Manufacturero</t>
  </si>
  <si>
    <t>N/A</t>
  </si>
  <si>
    <t>Las micro y pequeñas empresas no cuentan con el capital individual para adquirir tecnología avanzada (como máquinas de corte/grabado láser, equipos de diseño digital 3D o automatización industrial)</t>
  </si>
  <si>
    <t>Si el Estado implementa infraestructura tecnológica especializada (CETIPs/CITEs) que ponga a disposición servicios de maquinado de uso compartido e industrialización básica, las micro y pequeñas empresas podrán superar las barreras financieras de adquisición individual de equipos, optimizando sus líneas de producción e incrementando su productividad</t>
  </si>
  <si>
    <t xml:space="preserve"> Servicios de Maquinado Industrial de Uso Compartido (Desarrollo Productivo)</t>
  </si>
  <si>
    <t>Infraestructura técnica y parque de maquinaria especializada administrada por PRO-BOLIVIA (en los CETIPs de El Alto, Cochabamba, Potosí y San Buenaventura), que presta servicios de procesamiento y maquinado a costos accesibles para que las MyPEs resuelvan puntos críticos de sus líneas de producción sin requerir la compra individual de equipos de alto costo</t>
  </si>
  <si>
    <t>Inexistencia de laboratorios de control de calidad accesibles donde las MyPEs puedan realizar análisis físicos, químicos o microbiológicos indispensables para certificar sus productos y participar en compras estatales o mercados formales</t>
  </si>
  <si>
    <t>Si los CETIPs operan laboratorios especializados para pruebas e investigaciones de calidad, las unidades productivas verificarán rigurosamente las características físicas y químicas de sus materias primas e insumos, acreditando los estándares técnicos exigidos para acceder a compras estatales y mercados formales</t>
  </si>
  <si>
    <t>Servicios de Laboratorio Especializado y Acreditación de Calidad CETIP</t>
  </si>
  <si>
    <t>Laboratorios técnicos instalados en los CETIPs para la realización de pruebas de control de calidad, ensayos físicos, químicos y microbiológicos. Permiten verificar y certificar las características de materias primas e insumos para que las MyPEs cumplan con las fichas técnicas exigidas en compras estatales y mercados formales</t>
  </si>
  <si>
    <t>Escasa transferencia de conocimientos, prototipos e innovaciones aplicadas a los procesos de producción en planta</t>
  </si>
  <si>
    <t>Si los CETIPs actúan como articuladores entre los sectores generadores de conocimiento (universidades e institutos técnicos), el sector público y el sector productivo, se orientará la investigación y desarrollo (I+I+D) a la resolución directa de los cuellos de botella técnicos en las plantas manufactureras</t>
  </si>
  <si>
    <t xml:space="preserve">Proyectos de Investigación, Innovación y Desarrollo (I+D+i) y Alianzas Academia-Industria
</t>
  </si>
  <si>
    <t xml:space="preserve">Mecanismo de articulación institucional mediante convenios con universidades e institutos técnicos superiores para desarrollar tesis de grado, prácticas profesionales, prototipos e investigaciones aplicadas destinadas a resolver cuellos de botella técnicos específicos en las plantas manufactureras
</t>
  </si>
  <si>
    <t>Dificultad para homogeneizar lotes de producción, desarrollar prototipos de calidad y cumplir con fichas técnicas exigidas en el mercado</t>
  </si>
  <si>
    <t>Si se prestan servicios de asistencia técnica especializada, capacitación y desarrollo de prototipos, los productores incorporarán software de diseño asistido por computadora (CAD/CAM, 3D) y patronaje digital, logrando homogeneizar sus lotes de producción y cumplir con fichas técnicas estandarizadas</t>
  </si>
  <si>
    <t>Servicios de Transferencia Tecnológica, Asistencia Técnica Especializada y Capacitación</t>
  </si>
  <si>
    <t>Programas de formación técnica y acompañamiento directo en planta para la adopción de herramientas informáticas de diseño asistido por computadora (CAD/CAM, 3D), optimización de patrones y estandarización de procesos productivos</t>
  </si>
  <si>
    <t>Subsector Confección Textil e Indumentaria: (CETIP Textil El Alto, CETIP Textil Potosí)</t>
  </si>
  <si>
    <t>Ineficiencia en el trazado manual, desaprovechamiento de tela, falta de precisión en el corte masivo y deficiencias en el acabado o tinte de telas y fibras</t>
  </si>
  <si>
    <t xml:space="preserve"> Si los CETIPs Textiles (El Alto y Potosí) brindan servicios de trazado, diseño y corte computarizado digital, los talleres confeccionistas reducirán el desperdicio de tela, optimizarán los tiempos de ensamblado y elevarán la calidad en la terminación de las prendas</t>
  </si>
  <si>
    <t>Servicios de Trazado, Patronaje y Corte Computarizado Digital (CETIP Textil El Alto y Potosí)</t>
  </si>
  <si>
    <t>Módulos equipados con software de diseño y mesas de corte automatizado que permiten digitalizar moldes, optimizar el acomodo del trazo y realizar el corte masivo de telas con alta precisión, minimizando el desperdicio de insumos textiles</t>
  </si>
  <si>
    <t>Subsector Madera y Manufacturas: (CETIP Madera El Alto, CETIP Madera San Buenaventura)</t>
  </si>
  <si>
    <t>Desperdicio de materia prima por aserrado impreciso, deficiencias en el secado de madera, maquinaria de corte obsoleta e inexistencia de diseño asistido por computadora</t>
  </si>
  <si>
    <t>Si el CETIP Madera (El Alto y San Buenaventura) ofrece laboratorios de secado técnico y servicios de maquinado industrial de precisión, las carpinterías madereras aumentarán el rendimiento de corte por troza, evitarán deformaciones por humedad en el mueble e incrementarán el valor agregado de la madera</t>
  </si>
  <si>
    <t>Servicios de Maquinado de Precisión y Laboratorio de Secado Técnico (CETIP Madera El Alto y San Buenaventura)</t>
  </si>
  <si>
    <t>Instalaciones y hornos piloto para el secado controlado de madera y procesamiento de piezas en maquinaria de alta tecnología, garantizando la humedad óptima y el dimensionamiento exacto para evitar deformaciones en la carpintería fina y muebles</t>
  </si>
  <si>
    <t xml:space="preserve">Subsector Cuero, Calzado y Marroquinería: (CETIP Cuero Cochabamba)
</t>
  </si>
  <si>
    <t>Curtido heterogéneo, falta de pruebas de laboratorio para medir resistencia/fricción de pieles, patronaje manual de calzado obsoleto y altos costos de corte</t>
  </si>
  <si>
    <t>Si el CETIP Cuero (Cochabamba) facilita laboratorios de análisis físico-químico de pieles, diseño digital 3D y máquinas de corte/grabado láser, se asegurará la homogeneidad del curtido, se automatizará el patronaje y se reducirán sustancialmente los costos y tiempos de fabricación del calzado</t>
  </si>
  <si>
    <t>Laboratorio Físico-Químico del Cuero, Modelado Digital 3D y Corte Láser (CETIP Cuero Cochabamba)</t>
  </si>
  <si>
    <t>Servicios de ensayos físicos/químicos para estandarizar la formulación de curtiembre, escaneo 3D de hormas para diseño de calzado y máquinas de corte y grabado láser que automatizan el armado de piezas de marroquinería y calzado</t>
  </si>
  <si>
    <t>Sector Agroindustrial</t>
  </si>
  <si>
    <t>Subsector Lácteo y Agroindustria (Eje ampliado)</t>
  </si>
  <si>
    <t>Pérdida de valor agregado en materia prima lechera, problemas de inocuidad/vida útil del producto e insuficientes análisis sanitarios en pequeños emprendimientos lácteos</t>
  </si>
  <si>
    <t>Si los centros tecnológicos implementan plantas piloto, investigación aplicada de alimentos y transferencia de Buenas Prácticas de Manufactura (BPM), se mejorará la eficiencia en la transformación de la materia prima, garantizando la inocuidad y extendiendo la vida útil de los productos procesados</t>
  </si>
  <si>
    <t>Plantas Piloto Agroindustriales, Ensayos de Alimentos y Acompañamiento en BPM (CETIP Lácteo)</t>
  </si>
  <si>
    <t xml:space="preserve"> Infraestructura experimental y plantas piloto para el desarrollo e investigación de derivados lácteos y alimentos procesados, ensayos de laboratorio para extender la vida útil y transferencia de Buenas Prácticas de Manufactura (BPM) que aseguren la inocuidad</t>
  </si>
  <si>
    <t xml:space="preserve">Complejo Productivo Lácteo
</t>
  </si>
  <si>
    <t>Ámbito del Consumo y Mercado Interno</t>
  </si>
  <si>
    <t>La población boliviana registraba índices de consumo de leche muy reducidos, afectando los niveles nutricionales de las familias y la seguridad alimentaria con soberanía</t>
  </si>
  <si>
    <t xml:space="preserve"> Si se captan recursos específicos provenientes de la Retención por Comercialización de Cerveza (RCC) y la Retención por Importación de Bebidas Alcohólicas (RIBA) para financiar campañas masivas de difusión comunicacional, ferias y eventos de incentivo nutricional, se concientizará a la población sobre los beneficios del alimento y se elevará de forma progresiva el consumo per cápita nacional</t>
  </si>
  <si>
    <t>Programa de Promoción del Consumo de Productos Lácteos y Campañas Comunicacionales.</t>
  </si>
  <si>
    <t>Disposición de hasta el 4% de la recaudación anual del Fondo destinada al financiamiento de activaciones directas, ferias sectoriales, spots televisivos, cuñas radiales y material educativo para concientizar a la población (priorizando a niños, adultos mayores y gestantes) sobre el valor nutricional de la leche</t>
  </si>
  <si>
    <t>Existían barreras económicas para que los sectores vulnerables o masivos de la población accedieran a productos lácteos básicos de consumo popular a un "Precio Justo"</t>
  </si>
  <si>
    <t>Si el Ministerio de Desarrollo Productivo y Economía Plural otorga la Certificación de Precio Justo (CPJ) con el precio regulado impreso en el envase a las industrias que elaboren productos de consumo masivo o popular, se asegurará la oferta de lácteos esenciales a costos asequibles para las familias bolivianas</t>
  </si>
  <si>
    <t>Certificación de Precio Justo (CPJ) e Impresión del Precio en Envase.</t>
  </si>
  <si>
    <t>Certificado oficial emitido por el Ministerio de Desarrollo Productivo y Economía Plural (MDPyEP) a las industrias que elaboran derivados de consumo popular, exigiendo la impresión obligatoria del precio regulado en el envase para garantizar su venta masiva a un costo accesible</t>
  </si>
  <si>
    <t>Sector Primario (Pecuario / Ganadería de Leche</t>
  </si>
  <si>
    <t xml:space="preserve"> Inseguridad e insuficiencia en la retribución económica que recibían los productores primarios por la leche fresca</t>
  </si>
  <si>
    <t>Si el Fondo ejecuta transferencias directas a las industrias lácteas destinadas a cubrir y compensar el incremento en el precio de la leche fresca cruda pagado al lechero en función a bandas de precio establecidas, se protegerá la rentabilidad del pequeño productor primario frente a las variaciones en sus costos operativos</t>
  </si>
  <si>
    <t>Mecanismo de Transferencias Directas para Compensación de Precio Justo y Bandas de Precios.</t>
  </si>
  <si>
    <t>Subvención monetaria canalizada hacia las industrias lácteas para cubrir y compensar el incremento en el precio de la leche fresca cruda pagado directamente al lechero en campo, en cumplimiento estricto de las Bandas de Precios fijadas periódicamente por el Estado</t>
  </si>
  <si>
    <t>Limitaciones técnicas en el ordeño y acopio, manifestadas en la falta de tanques de enfriamiento, ordeñadoras mecánicas, tachos de aluminio e infraestructura para preservar la calidad e inocuidad de la leche cruda</t>
  </si>
  <si>
    <t>Si se financian e implementan Iniciativas Productivas (IPs) para la transferencia de activos en especie —como tanques de enfriamiento, ordeñadoras mecánicas de doble bajada, tachos de aluminio e infraestructura de acopio—, se tecnificará el proceso de ordeño y se preservará la inocuidad y cadena de frío de la leche cruda desde el campo hasta la planta</t>
  </si>
  <si>
    <t>Iniciativas Productivas (IPs) Lácteas y Transferencia de Activos en Especie.</t>
  </si>
  <si>
    <t xml:space="preserve"> Fondo de transferencias públicas no reembolsables en especie dirigidas a asociaciones de pequeños productores para la dotación de tanques de enfriamiento de leche, ordeñadoras mecánicas de doble bajada, tachos de aluminio y construcción de centros de acopio</t>
  </si>
  <si>
    <t>Dificultad de los pequeños productores lecheros (priorizados por la norma) para mantenerse en la actividad productiva frente a variaciones de costos y shocks climáticos</t>
  </si>
  <si>
    <t>Si la regulación y la asignación de proyectos del Fondo aplican un criterio de priorización enfocado explícitamente en la escala de operaciones de los pequeños productores organizados en módulos o asociaciones, se consolidará la asociatividad y se generarán economías de escala que viabilicen su acopio e inclusión comercial</t>
  </si>
  <si>
    <t>Proyectos de Inversión con Criterio de Priorización por Escala de Operación.</t>
  </si>
  <si>
    <t>Convocatorias y programas de inversión pública en las tres cuencas lecheras del país (Altiplano, Valles y Trópico), reglamentados para priorizar la asignación de recursos y financiamiento a los módulos y asociaciones de pequeña escala</t>
  </si>
  <si>
    <t xml:space="preserve"> Sector Secundario (Agroindustria / Industria Láctea)</t>
  </si>
  <si>
    <t>Asimetrías en la escala de operaciones y necesidad de fortalecimiento técnico, financiero e industrial en las plantas procesadoras</t>
  </si>
  <si>
    <t>Si en la distribución de incentivos y programas del Fondo se apoya preferentemente el desarrollo de las pequeñas y medianas plantas procesadoras que destinen su producción al mercado interno, se reducirán las disparidades del sector industrial y se promoverá una transformación láctea descentralizada</t>
  </si>
  <si>
    <t>Fondo de Fomento al Desarrollo del Complejo Lácteo y Asignación Preferencial PyMI.</t>
  </si>
  <si>
    <t xml:space="preserve"> Reserva presupuestaria (mínimo del 25% de la recaudación del Fondo) destinada a programas de fortalecimiento técnico, infraestructura y capacidad industrial para pequeñas y medianas empresas procesadoras que orientan su producción al mercado interno</t>
  </si>
  <si>
    <t xml:space="preserve">Competencia generada por el uso e importación de leche en polvo importada en lugar del aprovechamiento de la leche fresca cruda de producción nacional
</t>
  </si>
  <si>
    <t>Si se establecen criterios cualitativos que otorguen mayor respaldo financiero a las industrias que procesen exclusivamente leche fresca cruda de origen nacional y no insumos importados, se garantizará la absorción total del acopio lechero local en el marco de la sustitución de importaciones</t>
  </si>
  <si>
    <t>Matriz de Criterios Cualitativos para la Asignación de Recursos.</t>
  </si>
  <si>
    <t>Sistema de ponderación reglamentado en el DS 1207 y DS 4423 que premia a las empresas lácteas que procesan exclusivamente leche fresca cruda de origen nacional y penaliza o excluye del beneficio del Fondo a aquellas que utilizan leche en polvo importada como insumo industrial</t>
  </si>
  <si>
    <t xml:space="preserve">Dificultad de algunas industrias y unidades productivas para cumplir de forma homogénea con las Normas Bolivianas de Calidad de productos lácteos
</t>
  </si>
  <si>
    <t xml:space="preserve">Si el acceso a las transferencias, proyectos y certificaciones del Fondo exige como requisito obligatorio el cumplimiento de las Normas Bolivianas de Calidad de productos lácteos, los actores del complejo estandarizarán sus procesos de producción primaria y transformación industrial
</t>
  </si>
  <si>
    <t>Sistema de Registro y Acreditación Láctea, CETIP Lácteo u Observatorio Lácteo.</t>
  </si>
  <si>
    <t>Registro obligatorio y verificación de campo realizada por PRO-BOLIVIA a las unidades productivas e industrias lácteas, condicionando el acceso a los beneficios del Fondo al cumplimiento estricto de las Normas Bolivianas de Calidad de la leche y habilitando laboratorios de ensayo e investigación tecnológica</t>
  </si>
  <si>
    <t xml:space="preserve">Granos, soya, caña de azúcar, quinua orgánica, avícola, porcino, vitivinícola, semillas, flores y producción de alimentos
</t>
  </si>
  <si>
    <t>Dificultad del pequeño productor rural para acceder a préstamos bancarios por falta de garantías colaterales tradicionales y descalce de plazos frente a los ciclos agrícolas y pecuarios</t>
  </si>
  <si>
    <t xml:space="preserve">Si se constituyen fideicomisos estatales y productos crediticios que incorporen Garantías No Convencionales (derechos de cobro, contratos de venta a futuro, inventarios, avales comunitarios o semovientes) junto con periodos de gracia adaptados a los ciclos agrícolas, se logrará la inclusión financiera efectiva de pequeños productores campesinos e indígenas tradicionalmente excluidos de la banca comercial
</t>
  </si>
  <si>
    <t xml:space="preserve"> Sistema de Registro de Garantías No Convencionales y Fondo de Afianzamiento (FA-BDP).</t>
  </si>
  <si>
    <t>Mecanismo normativo e institucional que valida y registra colaterales alternativos (contratos de venta a futuro, cosechas, semovientes, avales comunitarios y maquinaria no sujeta a registro) y otorga cobertura de garantía crediticia para que pequeños productores urbanos y rurales accedan al financiamiento bancario sin depender de hipotecas tradicionales
.</t>
  </si>
  <si>
    <t>Pérdida de capital de trabajo en unidades productivas de alimentos ante eventos climáticos adversos o situaciones de emergencia declarada en cuencas productivas</t>
  </si>
  <si>
    <t>Si el Estado crea fondos fiduciarios de emergencia dirigidos a zonas afectadas por eventos adversos (como los fideicomisos FIPOREBO, FIBECA o el FDP en situaciones de desastre), se otorgarán recursos oportunos para la reposición de activos, el repoblamiento ganadero y la compra de materia prima, evitando la quiebra y el abandono de la actividad productiva de alimentos
.</t>
  </si>
  <si>
    <t xml:space="preserve"> Fideicomisos de Reconstrucción y Emergencia Sectorial (FIPOREBO, FIBECA y FIREGAPO).</t>
  </si>
  <si>
    <t>Patrimonios autónomos activados mediante Decretos Supremos para canalizar préstamos de auxilio orientados a la reposición de activos, repoblamiento bovino, compra de materia prima de castaña y restitución de capacidad productiva avícola en municipios con declaratoria de desastre o emergencia sanitaria
.</t>
  </si>
  <si>
    <t>Escasa disponibilidad de insumos certificados (como semillas) y falta de recursos para financiar capital de inversión que permita modernizar la producción y mejorar rendimientos en campo
.</t>
  </si>
  <si>
    <t>Si los fideicomisos del BDP canalizan financiamiento de fomento de mediano y largo plazo destinado a capital de inversión, los productores adquirirán maquinaria, infraestructura de riego y semillas certificadas, incrementando los rendimientos por hectárea y la competitividad de los alimentos estratégicos
.</t>
  </si>
  <si>
    <t>Líneas de Crédito para Capital de Inversión FDP y Fideicomisos Sectoriales Específicos.</t>
  </si>
  <si>
    <t xml:space="preserve">Operaciones fiduciarias de mediano y largo plazo dirigidas a financiar la adquisición de maquinaria, sistemas de riego, infraestructura y semillas certificadas en rubros estratégicos (caña, granos, quinua, semillas y avícola)
</t>
  </si>
  <si>
    <t>Sector Industrial Manufacturero y Artesanal</t>
  </si>
  <si>
    <t xml:space="preserve">Transformación de textiles y confecciones, madera y carpintería, cuero y calzado, metalmecánica, materiales de construcción y alimentos procesados
</t>
  </si>
  <si>
    <t xml:space="preserve">Exclusión de micro y pequeños artesanos e industriales del sistema financiero convencional por altos requisitos exigidos
</t>
  </si>
  <si>
    <t>Si se asignan recursos fiduciarios con tasas de interés reguladas de fomento y condiciones de acceso simplificadas orientadas a la MyPE, se superarán las barreras de financiamiento del sector informal, permitiendo la consolidación y formalización gradual de los emprendimientos artesanales e industriales
.</t>
  </si>
  <si>
    <t>Fideicomiso para el Desarrollo Productivo (FDP - Programa Especial MyPE).</t>
  </si>
  <si>
    <t>Fondo fiduciario constituido con recursos del Tesoro General de la Nación (TGN) para otorgar créditos en condiciones de fomento a micro y pequeños productores individuales o asociados del sector agroalimentario y manufacturero</t>
  </si>
  <si>
    <t xml:space="preserve">Insuficiencia de capital para la compra de maquinaria moderna (capital de inversión) y la adquisición oportuna de materias primas procesadas (capital de operaciones)
</t>
  </si>
  <si>
    <t>Si se estructuran créditos fiduciarios diferenciados para capital de operaciones (acopio de insumos y materia prima) y capital de inversión (adquisición de maquinaria moderna), las plantas manufactureras de cuero, madera, textiles y metalmecánica eliminarán su capacidad ociosa y modernizarán sus líneas de producción
.</t>
  </si>
  <si>
    <t>Fideicomiso para la Reactivación y Desarrollo de la Industria Nacional (FIREDIN / Crédito SIBOLIVIA) y Fideicomiso FISEFO.</t>
  </si>
  <si>
    <t>Mecanismos crediticios de fomento que ofrecen tasas de interés fijas reguladas (al 0,5% anual en el caso de SIBOLIVIA) para la compra de insumos, materia prima y bienes de capital orientados a la sustitución de importaciones y la producción forestal sustentable
.</t>
  </si>
  <si>
    <t xml:space="preserve">Dificultades para competir en el mercado interno y generar oferta exportable manufacturada con estándares homogéneos de calidad
</t>
  </si>
  <si>
    <t>Si se implementan mecanismos fiduciarios de liquidez y factoraje (como FEPROBE, SIBOLIVIA/FIREDIN o cesión de derechos de cobro) para financiar la producción con valor agregado y las ventas a entidades públicas, las unidades productivas sustituirán importaciones y consolidarán mercados formales
.</t>
  </si>
  <si>
    <t>Fideicomiso de Financiamiento a Exportadores y Proveedores de Bienes al Estado (FEPROBE).</t>
  </si>
  <si>
    <t>Instrumento de liquidez y factoraje que financia el capital de trabajo de micro y pequeños productores mediante la cesión de derechos de cobro de contratos suscritos con entidades estatales o documentos derivados de exportaciones con valor agregado
.</t>
  </si>
  <si>
    <t>Infraestructura Productiva y Complejos Estratégicos</t>
  </si>
  <si>
    <t xml:space="preserve">Apoyo a la producción, servicios complementarios y turismo rural/receptivo
</t>
  </si>
  <si>
    <t xml:space="preserve">Carencia de centros de acopio, centros de procesamiento y facilidades técnicas en los municipios productivo
</t>
  </si>
  <si>
    <t xml:space="preserve"> Si los fideicomisos habilitan tramos de crédito específicos para el financiamiento de infraestructura productiva, silos, plantas de enfriamiento y centros de procesamiento territorial, se resolverán los cuellos de botella logísticos de las regiones y se articulará la producción rural con la industria nacional
.</t>
  </si>
  <si>
    <t xml:space="preserve"> Fideicomiso de Crédito Sectorial en Infraestructura Productiva</t>
  </si>
  <si>
    <t xml:space="preserve"> Tramo de financiamiento administrado a través de Entidades de Intermediación Financiera para construir y equipar centros de acopio, plantas de enfriamiento, silos y facilidades técnicas municipales que reduzcan los costos logísticos del productor
.</t>
  </si>
  <si>
    <t xml:space="preserve"> Falta de un mecanismo ágil de financiamiento fiduciario de segundo piso que canalice recursos de fomento hacia las entidades financieras intermediarias (EIFs) en las distintas regiones del país
</t>
  </si>
  <si>
    <t xml:space="preserve">Si el BDP-S.A.M. actúa como fiduciario de segundo piso canalizando liquidez de los fideicomisos estatales hacia Entidades de Intermediación Financiera (EIFs), Instituciones Financieras de Desarrollo (IFDs) y cooperativas, se logrará una distribución capilar, ágil y descentralizada del crédito de fomento en todo el territorio nacional
</t>
  </si>
  <si>
    <t>Mecanismo de Créditos de Segundo Piso del BDP-S.A.M. hacia Entidades de Intermediación Financiera (EIFs)</t>
  </si>
  <si>
    <t>Esquema de fondeo masivo mediante el cual el BDP transfiere recursos fiduciarios estatales a Bancos PyME, Instituciones Financieras de Desarrollo (IFDs) y Cooperativas de Ahorro y Crédito para lograr la colocación descentralizada de crédito productivo en todo el país</t>
  </si>
  <si>
    <t>Textiles y Confecciones</t>
  </si>
  <si>
    <t>Desconexión con las tendencias internacionales de moda y diseño, técnicas obsoletas e imprecisas de patronaje y trazado, falta de estandarización en prendas y dificultades de las pequeñas unidades para subcontratar o integrarse a cadenas de exportación</t>
  </si>
  <si>
    <t xml:space="preserve">Si se organizan Núcleos Empresariales del rubro y se transfiere conocimiento técnico en tendencias internacionales de moda (Tour Moda Bolivia / Boltrends e INEXMODA), patronaje industrial, trazado moderno y confección estandarizada, las MyPEs elevarán la calidad y precisión de sus prendas, alcanzando la escala asociativa requerida para atender pedidos de mayor volumen e integrarse a cadenas comerciales y de exportación
</t>
  </si>
  <si>
    <t>Programa de Tendencias Tour Moda Bolivia (Boltrends), Capacitaciones INEXMODA y Asistencia Técnica en Patronaje y Trazado Moderno.</t>
  </si>
  <si>
    <t>Taller y programa de formación especializada implementado a través de los Núcleos Empresariales de confecciones para transferir moldería industrial en sastrería masculina y femenina, trazado computarizado/moderno y estrategias de comercialización de la plataforma INEXMODA, orientados a estandarizar la calidad e integrar la producción local a mercados formales</t>
  </si>
  <si>
    <t>Madera y Carpintería</t>
  </si>
  <si>
    <t>Deficiencias en el maquinado secundario, problemas en el control e inventario de materias primas/stocks, falta de compras asociativas de insumos y limitado diseño innovador en la carpintería fina</t>
  </si>
  <si>
    <t>Si las unidades madereras se agrupan en Núcleos Empresariales para adoptar sistemas digitales compartidos de gestión de stock e inventarios, realizar compras asociativas de materia prima e insumos y recibir asistencia técnica en maquinado de precisión y diseño industrial de muebles, se optimizará el rendimiento de la madera, reduciendo costos operativos e incrementando el valor agregado del producto terminado</t>
  </si>
  <si>
    <t>Software Digital Compartido de Gestión de Inventarios/Stock y Programa de Compras Asociativas de Insumos.</t>
  </si>
  <si>
    <t>Herramienta digital y esquema de articulación grupal diseñado para que las PyMEs del sector forestal e industrial maderero controlen eficientemente sus existencias, reduzcan costos mediante la adquisición conjunta de materia prima e insumos y apliquen mejoras técnicas en el maquinado secundario</t>
  </si>
  <si>
    <t>Cuero y Calzado</t>
  </si>
  <si>
    <t xml:space="preserve"> Elevados costos de producción por métodos de corte manual, obsolescencia e ineficiencia en el desarrollo de hormas/patrones, e insuficientes herramientas de gestión comercial para competir frente a productos importados o de frontera</t>
  </si>
  <si>
    <t xml:space="preserve"> Si se incorporan técnicas modernas de modelado y patronaje digital 3D, máquinas de corte/grabado láser y herramientas asociativas de posicionamiento comercial y desarrollo de marca, las empresas de calzado y marroquinería automatizarán sus procesos de armado, reducirán las mermas de cuero e incrementarán su productividad y ventas directas frente a la competencia importada</t>
  </si>
  <si>
    <t>Programa de Transferencia Tecnológica en Diseño/Patronaje Digital 3D, Corte Láser y Posicionamiento de Marca</t>
  </si>
  <si>
    <t>Asistencia técnica y capacitación en herramientas digitales de última generación (diseño 3D y maquinaria de corte/grabado láser) aplicadas al armado de calzado y marroquinería, combinadas con estrategias grupales de marketing y desarrollo de marcas comerciales</t>
  </si>
  <si>
    <t>Metalmecánica y Construcción</t>
  </si>
  <si>
    <t>Baja productividad en pequeños talleres, atomización operativa y baja capacidad de negociación directa con proveedores de insumos de construcción</t>
  </si>
  <si>
    <t>Si se conforman Núcleos Empresariales en metalmecánica, construcción y carpintería de aluminio para ejecutar compras asociativas de materiales directamente con proveedores e instalar controles digitales de procesos por celdas de trabajo, se incrementará la productividad de los talleres, reduciendo los costos de adquisición de insumos y aumentando su margen operativo.</t>
  </si>
  <si>
    <t>Mecanismo de Compras Conjuntas de Materiales y Sistema Digital de Control de Procesos por Celdas de Trabajo.</t>
  </si>
  <si>
    <t>Instrumento de gestión asociativa e innovación operativa que consolida la demanda de los talleres para negociar directamente con proveedores de insumos de construcción, implementando software digital para el monitoreo de la producción por celdas en planta</t>
  </si>
  <si>
    <t>Artesanías e Industria Creativa</t>
  </si>
  <si>
    <t>Alta dispersión de los artesanos, productos sin acabado comercial estandarizado, falta de marcas comerciales y escasos canales de comercialización articulados al turismo</t>
  </si>
  <si>
    <t>Si se capacita a los artesanos en diseño con identidad propia (autenticidad), tecnologías accesibles como diseño 3D y microfusión/tallado en cera, estandarización de acabados y articulación a ferias/ruedas de negocio vinculadas al turismo, los emprendimientos multiplicarán su capacidad productiva, estandarizarán su calidad y consolidarán marcas comerciales de mayor valor</t>
  </si>
  <si>
    <t>Adaptación Tecnológica Local (Diseño 3D, Microfusión/Tallado en Cera) y Programa de Diseño Identitario con Autenticidad.</t>
  </si>
  <si>
    <t>Servicios de formación y articulación con proveedores locales de tecnología para introducir técnicas de casting, microfusión a la cera perdida y diseño 3D en joyería artesanal de altura, fusionando elementos culturales (cereales andinos y tejidos) para diversificar la oferta e incrementar el rendimiento del taller</t>
  </si>
  <si>
    <t xml:space="preserve">Sector Agroindustrial y Alimentos/Bebidas
</t>
  </si>
  <si>
    <t>Alimentos Procesados</t>
  </si>
  <si>
    <t xml:space="preserve">Fallas e inobservancia de Buenas Prácticas de Manufactura (BPM), deficiencias en inocuidad alimentaria, limitaciones de empaque, rotulado e imagen de marca, y desconexión entre la producción agrícola primaria de las provincias rurales y las industrias procesadoras urbanas
</t>
  </si>
  <si>
    <t>Si se brinda asistencia técnica integral en implementación de BPM, inocuidad alimentaria, estandarización de fórmulas, tablas nutricionales y diseño de empaques, sumado a la vinculación directa de productores agrícolas de provincias rurales con empresas procesadoras urbanas mediante ruedas de negocio, se garantizará el cumplimiento sanitario, incrementando las ventas e ingresando formalmente a cadenas de supermercados</t>
  </si>
  <si>
    <t>Programa de Asistencia Técnica en Buenas Prácticas de Manufactura (BPM), Inocuidad, Etiquetado y Ruedas de Negocio Rural-Urbano</t>
  </si>
  <si>
    <t>Paquete de servicios de desarrollo empresarial para la obtención de certificaciones sanitarias, tablas nutricionales, diseño de empaques e inocuidad alimentaria en pequeñas procesadoras (como pulpas de fruta o chocolates), conectando la materia prima de productores rurales con la demanda de la industria urbana</t>
  </si>
  <si>
    <t>Vinos y Singanis</t>
  </si>
  <si>
    <t>Dificultades de posicionamiento comercial y apertura de mercados fuera de las zonas productoras de origen (Tarija, Cintis/Chuquisaca), falta de canales de distribución eficientes e insuficientes estrategias de marketing integrado</t>
  </si>
  <si>
    <t>Si los productores de zonas tradicionales (como Cintis y Tarija) se articulan en Núcleos Empresariales para participar en ferias, misiones comerciales, ruedas de negocios e intercambios de experiencias entre el ámbito rural y urbano, se desarrollarán estrategias unificadas de marketing e imagen de marca que abrirán canales de distribución nacionales e internacionales fuera de sus zonas de origen</t>
  </si>
  <si>
    <t>Misiones Comerciales, Ruedas de Negocios Interdepartamentales y Estrategias Asociativas de Imagen de Marca</t>
  </si>
  <si>
    <t>Espacios de promoción comercial y articulación de oferta que conectaron a productores vitivinícolas e industriales de bebidas de provincias (Cintis y Tarija) con redes de comercialización en centros urbanos principales, abriendo canales de distribución más allá de sus municipios de origen</t>
  </si>
  <si>
    <t xml:space="preserve">Sector Servicios y Comercio
</t>
  </si>
  <si>
    <t>Turismo y Gastronomía</t>
  </si>
  <si>
    <t>Ausencia de espacios de diálogo e integración entre prestadores de servicios privados y el sector público, falta de empaquetamiento y diseño de rutas de turismo rural/experiencial, débil gestión financiera y de costos en época de fluctuación de demanda, e insuficientes sellos de calidad e higiene</t>
  </si>
  <si>
    <t xml:space="preserve">Si se crean Núcleos Empresariales turísticos e instancias de concertación público-privada (como el Primer Foro de Turismo) para diseñar circuitos integrados, implementar sellos de calidad/higiene y capacitar en gestión financiera y comercialización, se estructurará una oferta turística diversificada, estable y competitiva capaz de atrapar un mayor flujo de visitantes
</t>
  </si>
  <si>
    <t>Primer Foro de Turismo Público-Privado, Núcleos Sectoriales Turísticos y Certificación de Sellos de Calidad e Higiene</t>
  </si>
  <si>
    <t>Instancia institucional de concertación entre prestadores de servicios de hospedaje/gastronomía y el sector público para consensuar agendas territoriales, empaquetar rutas turísticas experienciales y aplicar estándares unificados de gestión financiera y bioseguridad</t>
  </si>
  <si>
    <t>TICs y Ámbito Transversal MyPE</t>
  </si>
  <si>
    <t xml:space="preserve"> Brecha digital acentuada en las pequeñas empresas, escaso uso de herramientas tecnológicas para comercialización y gestión (plataformas informáticas, CRM/ERP), aislamiento entre empresas del mismo rubro e inexistencia de una cultura de asociatividad para resolver problemas comunes de competitividad</t>
  </si>
  <si>
    <t xml:space="preserve">Si se aplica la metodología de Núcleos Empresariales guiados por Consejeros combinada con programas de transformación digital (como DIGITAL-BIT, agencias de innovación como Santa Cruz Innova y la Red AL-Invest 5.0), las empresas superarán el aislamiento operativo, adoptarán software de gestión (CRM/ERP), comercio electrónico y catálogos digitales, consolidando alianzas comerciales duraderas y elevando su competitividad sistémica
</t>
  </si>
  <si>
    <t>Metodología de Núcleos Empresariales (sequa), Proyecto DIGITAL-BIT, Agencia de Innovación "Santa Cruz Innova" y Plataforma Virtual Red AL-Invest 5.0.</t>
  </si>
  <si>
    <t xml:space="preserve">Plataforma metodológica y tecnológica integral liderada por Consejeros de Núcleo que facilita la adopción de software de gestión empresarial (CRM/ERP), agencias privadas de innovación, catálogos digitales QR y la plataforma Red AL-Invest 5.0 para la vinculación comercial y el comercio electrónico internacional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</si>
</sst>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6" x14ac:knownFonts="1">
    <font>
      <sz val="10"/>
      <color rgb="FF000000"/>
      <name val="Arial"/>
      <scheme val="minor"/>
    </font>
    <font>
      <sz val="10"/>
      <name val="Arial"/>
    </font>
    <font>
      <b/>
      <sz val="11"/>
      <color rgb="FF000000"/>
      <name val="Calibri"/>
    </font>
    <font>
      <b/>
      <sz val="11"/>
      <color theme="1"/>
      <name val="Calibri"/>
    </font>
    <font>
      <sz val="11"/>
      <color theme="1"/>
      <name val="Calibri"/>
    </font>
    <font>
      <sz val="11"/>
      <color rgb="FF000000"/>
      <name val="Calibri"/>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6F8F9"/>
        <bgColor rgb="FFF6F8F9"/>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7">
    <xf numFmtId="0" fontId="0" fillId="0" borderId="0" xfId="0"/>
    <xf numFmtId="0" fontId="2" fillId="2" borderId="0" xfId="0" applyFont="1" applyFill="1" applyAlignment="1">
      <alignment horizontal="left" vertical="top" wrapText="1"/>
    </xf>
    <xf numFmtId="49" fontId="2" fillId="2" borderId="0" xfId="0" applyNumberFormat="1" applyFont="1" applyFill="1" applyAlignment="1">
      <alignment horizontal="left" vertical="top" wrapText="1"/>
    </xf>
    <xf numFmtId="49" fontId="2" fillId="2" borderId="0" xfId="0" applyNumberFormat="1" applyFont="1" applyFill="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2"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3" borderId="2" xfId="0" applyFont="1" applyFill="1" applyBorder="1" applyAlignment="1">
      <alignment vertical="top" wrapText="1"/>
    </xf>
    <xf numFmtId="0" fontId="5" fillId="3" borderId="3" xfId="0" applyFont="1" applyFill="1" applyBorder="1" applyAlignment="1">
      <alignment horizontal="left" vertical="top" wrapText="1"/>
    </xf>
    <xf numFmtId="0" fontId="5" fillId="3" borderId="0" xfId="0" applyFont="1" applyFill="1" applyAlignment="1">
      <alignment horizontal="left" vertical="top" wrapText="1"/>
    </xf>
    <xf numFmtId="0" fontId="4" fillId="3" borderId="0" xfId="0" applyFont="1" applyFill="1" applyAlignment="1">
      <alignment vertical="top" wrapText="1"/>
    </xf>
    <xf numFmtId="4" fontId="5" fillId="3" borderId="0" xfId="0" applyNumberFormat="1" applyFont="1" applyFill="1" applyAlignment="1">
      <alignment horizontal="left" vertical="top" wrapText="1"/>
    </xf>
    <xf numFmtId="0" fontId="2" fillId="3" borderId="0" xfId="0" applyFont="1" applyFill="1" applyAlignment="1">
      <alignment horizontal="left" vertical="top" wrapText="1"/>
    </xf>
    <xf numFmtId="0" fontId="5" fillId="3" borderId="0" xfId="0" applyFont="1" applyFill="1" applyAlignment="1">
      <alignment vertical="top" wrapText="1"/>
    </xf>
    <xf numFmtId="0" fontId="5" fillId="3" borderId="5" xfId="0" applyFont="1" applyFill="1" applyBorder="1" applyAlignment="1">
      <alignment horizontal="left" vertical="top" wrapText="1"/>
    </xf>
    <xf numFmtId="0" fontId="4" fillId="4" borderId="0" xfId="0" applyFont="1" applyFill="1" applyAlignment="1">
      <alignment vertical="top" wrapText="1"/>
    </xf>
    <xf numFmtId="0" fontId="2" fillId="3" borderId="7"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7" xfId="0" applyFont="1" applyFill="1" applyBorder="1" applyAlignment="1">
      <alignment vertical="top" wrapText="1"/>
    </xf>
    <xf numFmtId="0" fontId="5" fillId="3" borderId="8" xfId="0" applyFont="1" applyFill="1" applyBorder="1" applyAlignment="1">
      <alignment horizontal="left" vertical="top" wrapText="1"/>
    </xf>
    <xf numFmtId="0" fontId="4" fillId="3" borderId="0" xfId="0" applyFont="1" applyFill="1" applyAlignment="1">
      <alignment horizontal="left" vertical="top" wrapText="1"/>
    </xf>
    <xf numFmtId="0" fontId="4" fillId="3" borderId="7" xfId="0" applyFont="1" applyFill="1" applyBorder="1" applyAlignment="1">
      <alignment vertical="top" wrapText="1"/>
    </xf>
    <xf numFmtId="164" fontId="5" fillId="3" borderId="0" xfId="0" applyNumberFormat="1" applyFont="1" applyFill="1" applyAlignment="1">
      <alignment horizontal="left" vertical="top" wrapText="1"/>
    </xf>
    <xf numFmtId="0" fontId="0" fillId="0" borderId="0" xfId="0"/>
    <xf numFmtId="0" fontId="5" fillId="3" borderId="0" xfId="0" applyFont="1" applyFill="1" applyAlignment="1">
      <alignment horizontal="left" vertical="top" wrapText="1"/>
    </xf>
    <xf numFmtId="0" fontId="4" fillId="3" borderId="0" xfId="0" applyFont="1" applyFill="1" applyAlignment="1">
      <alignment vertical="top" wrapText="1"/>
    </xf>
    <xf numFmtId="0" fontId="5" fillId="3" borderId="2" xfId="0" applyFont="1" applyFill="1" applyBorder="1" applyAlignment="1">
      <alignment horizontal="left" vertical="top" wrapText="1"/>
    </xf>
    <xf numFmtId="0" fontId="1" fillId="3" borderId="7" xfId="0" applyFont="1" applyFill="1" applyBorder="1"/>
    <xf numFmtId="0" fontId="2" fillId="3" borderId="2" xfId="0" applyFont="1" applyFill="1" applyBorder="1" applyAlignment="1">
      <alignment horizontal="left" vertical="top" wrapText="1"/>
    </xf>
    <xf numFmtId="0" fontId="5" fillId="3" borderId="2" xfId="0" applyFont="1" applyFill="1" applyBorder="1" applyAlignment="1">
      <alignment vertical="top" wrapText="1"/>
    </xf>
    <xf numFmtId="0" fontId="5" fillId="3" borderId="1" xfId="0" applyFont="1" applyFill="1" applyBorder="1" applyAlignment="1">
      <alignment horizontal="left" vertical="top" wrapText="1"/>
    </xf>
    <xf numFmtId="0" fontId="1" fillId="3" borderId="4" xfId="0" applyFont="1" applyFill="1" applyBorder="1"/>
    <xf numFmtId="0" fontId="1" fillId="4" borderId="4" xfId="0" applyFont="1" applyFill="1" applyBorder="1"/>
    <xf numFmtId="0" fontId="1" fillId="3" borderId="6" xfId="0" applyFont="1" applyFill="1" applyBorder="1"/>
    <xf numFmtId="0" fontId="5" fillId="3" borderId="0" xfId="0" applyFont="1" applyFill="1" applyAlignment="1">
      <alignment vertical="top" wrapText="1"/>
    </xf>
    <xf numFmtId="0" fontId="1" fillId="4" borderId="6" xfId="0" applyFont="1" applyFill="1" applyBorder="1"/>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Mapeo v1-style" pivot="0" count="4" xr9:uid="{00000000-0011-0000-FFFF-FFFF00000000}">
      <tableStyleElement type="wholeTable" size="0" dxfId="4"/>
      <tableStyleElement type="headerRow" dxfId="7"/>
      <tableStyleElement type="firstRowStripe" dxfId="6"/>
      <tableStyleElement type="secondRowStripe" dxfId="5"/>
    </tableStyle>
    <tableStyle name="Copia de Hoja 1-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abriela Sanjinés" id="{F7BD0EBF-5B65-4113-811D-BBC83D415945}"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1" dT="2026-09-17T14:30:53.00" personId="{F7BD0EBF-5B65-4113-811D-BBC83D415945}" id="{9E584D20-786A-40BF-B0B8-888B8BFA0F72}">
    <text>Administrado por PROBOLIVIA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P1049"/>
  <sheetViews>
    <sheetView tabSelected="1" workbookViewId="0">
      <pane ySplit="1" topLeftCell="A2" activePane="bottomLeft" state="frozen"/>
      <selection pane="bottomLeft" activeCell="A2" sqref="A2:A12"/>
    </sheetView>
  </sheetViews>
  <sheetFormatPr baseColWidth="10" defaultColWidth="12.5703125" defaultRowHeight="15.75" customHeight="1" x14ac:dyDescent="0.2"/>
  <cols>
    <col min="1" max="1" width="25.42578125" customWidth="1"/>
    <col min="2" max="2" width="24.85546875" customWidth="1"/>
    <col min="3" max="5" width="25.42578125" customWidth="1"/>
    <col min="6" max="6" width="25.42578125" hidden="1" customWidth="1"/>
    <col min="7" max="8" width="38.85546875" customWidth="1"/>
    <col min="9" max="9" width="42.28515625" customWidth="1"/>
    <col min="10" max="10" width="40.7109375" customWidth="1"/>
    <col min="11" max="12" width="29.140625" customWidth="1"/>
    <col min="13" max="13" width="43.42578125" customWidth="1"/>
    <col min="14" max="14" width="41.28515625" customWidth="1"/>
    <col min="15" max="15" width="23.28515625" customWidth="1"/>
    <col min="16" max="16" width="38.42578125" customWidth="1"/>
    <col min="17" max="17" width="18.42578125" customWidth="1"/>
    <col min="18" max="42" width="12.5703125" hidden="1"/>
  </cols>
  <sheetData>
    <row r="1" spans="1:42" x14ac:dyDescent="0.2">
      <c r="A1" s="1" t="s">
        <v>0</v>
      </c>
      <c r="B1" s="1" t="s">
        <v>1</v>
      </c>
      <c r="C1" s="2" t="s">
        <v>2</v>
      </c>
      <c r="D1" s="1" t="s">
        <v>3</v>
      </c>
      <c r="E1" s="3" t="s">
        <v>4</v>
      </c>
      <c r="F1" s="3" t="s">
        <v>5</v>
      </c>
      <c r="G1" s="1" t="s">
        <v>6</v>
      </c>
      <c r="H1" s="2" t="s">
        <v>9</v>
      </c>
      <c r="I1" s="2" t="s">
        <v>8</v>
      </c>
      <c r="J1" s="3" t="s">
        <v>10</v>
      </c>
      <c r="K1" s="1" t="s">
        <v>12</v>
      </c>
      <c r="L1" s="1" t="s">
        <v>566</v>
      </c>
      <c r="M1" s="1" t="s">
        <v>567</v>
      </c>
      <c r="N1" s="1" t="s">
        <v>7</v>
      </c>
      <c r="O1" s="1" t="s">
        <v>568</v>
      </c>
      <c r="P1" s="1" t="s">
        <v>569</v>
      </c>
      <c r="Q1" s="1"/>
      <c r="R1" s="1" t="s">
        <v>11</v>
      </c>
      <c r="S1" s="1" t="s">
        <v>13</v>
      </c>
      <c r="T1" s="2" t="s">
        <v>14</v>
      </c>
      <c r="U1" s="4" t="s">
        <v>15</v>
      </c>
      <c r="V1" s="1" t="s">
        <v>16</v>
      </c>
      <c r="W1" s="1" t="s">
        <v>17</v>
      </c>
      <c r="X1" s="1" t="s">
        <v>18</v>
      </c>
      <c r="Y1" s="1" t="s">
        <v>19</v>
      </c>
      <c r="Z1" s="1" t="s">
        <v>20</v>
      </c>
      <c r="AA1" s="1" t="s">
        <v>21</v>
      </c>
      <c r="AB1" s="1" t="s">
        <v>22</v>
      </c>
      <c r="AC1" s="5"/>
      <c r="AD1" s="1" t="s">
        <v>23</v>
      </c>
      <c r="AE1" s="1" t="s">
        <v>24</v>
      </c>
      <c r="AF1" s="1" t="s">
        <v>25</v>
      </c>
      <c r="AG1" s="1" t="s">
        <v>26</v>
      </c>
      <c r="AH1" s="2" t="s">
        <v>27</v>
      </c>
      <c r="AI1" s="1" t="s">
        <v>28</v>
      </c>
      <c r="AJ1" s="2" t="s">
        <v>29</v>
      </c>
      <c r="AK1" s="2" t="s">
        <v>30</v>
      </c>
      <c r="AL1" s="1" t="s">
        <v>31</v>
      </c>
      <c r="AM1" s="1" t="s">
        <v>32</v>
      </c>
      <c r="AN1" s="1" t="s">
        <v>33</v>
      </c>
      <c r="AO1" s="1"/>
      <c r="AP1" s="1"/>
    </row>
    <row r="2" spans="1:42" x14ac:dyDescent="0.2">
      <c r="A2" s="31" t="s">
        <v>34</v>
      </c>
      <c r="B2" s="6" t="s">
        <v>35</v>
      </c>
      <c r="C2" s="7" t="s">
        <v>36</v>
      </c>
      <c r="D2" s="7" t="s">
        <v>37</v>
      </c>
      <c r="E2" s="8" t="s">
        <v>38</v>
      </c>
      <c r="F2" s="7"/>
      <c r="G2" s="7" t="s">
        <v>39</v>
      </c>
      <c r="H2" s="7" t="s">
        <v>40</v>
      </c>
      <c r="I2" s="7" t="s">
        <v>41</v>
      </c>
      <c r="J2" s="8" t="s">
        <v>42</v>
      </c>
      <c r="K2" s="7" t="s">
        <v>43</v>
      </c>
      <c r="L2" s="7"/>
      <c r="M2" s="7" t="s">
        <v>570</v>
      </c>
      <c r="N2" s="7" t="s">
        <v>571</v>
      </c>
      <c r="O2" s="7" t="s">
        <v>572</v>
      </c>
      <c r="P2" s="9" t="s">
        <v>573</v>
      </c>
      <c r="Q2" s="10"/>
      <c r="R2" s="10" t="s">
        <v>44</v>
      </c>
      <c r="S2" s="10">
        <v>1997</v>
      </c>
      <c r="T2" s="10">
        <v>29</v>
      </c>
      <c r="U2" s="11"/>
      <c r="V2" s="10" t="s">
        <v>45</v>
      </c>
      <c r="W2" s="10" t="s">
        <v>46</v>
      </c>
      <c r="X2" s="10" t="s">
        <v>47</v>
      </c>
      <c r="Y2" s="10" t="s">
        <v>48</v>
      </c>
      <c r="Z2" s="10" t="s">
        <v>49</v>
      </c>
      <c r="AA2" s="10" t="s">
        <v>50</v>
      </c>
      <c r="AB2" s="10" t="s">
        <v>51</v>
      </c>
      <c r="AC2" s="11"/>
      <c r="AD2" s="10" t="s">
        <v>52</v>
      </c>
      <c r="AE2" s="10" t="s">
        <v>53</v>
      </c>
      <c r="AF2" s="10"/>
      <c r="AG2" s="10" t="s">
        <v>54</v>
      </c>
      <c r="AH2" s="10" t="s">
        <v>55</v>
      </c>
      <c r="AI2" s="12">
        <v>16350000</v>
      </c>
      <c r="AJ2" s="12" t="str">
        <f>AH2</f>
        <v>USD</v>
      </c>
      <c r="AK2" s="12">
        <f>5750000/93463</f>
        <v>61.521671677562246</v>
      </c>
      <c r="AL2" s="10" t="s">
        <v>56</v>
      </c>
      <c r="AM2" s="10" t="s">
        <v>57</v>
      </c>
      <c r="AN2" s="10" t="s">
        <v>58</v>
      </c>
      <c r="AO2" s="10"/>
      <c r="AP2" s="10"/>
    </row>
    <row r="3" spans="1:42" x14ac:dyDescent="0.2">
      <c r="A3" s="33"/>
      <c r="B3" s="13"/>
      <c r="C3" s="10"/>
      <c r="D3" s="10"/>
      <c r="E3" s="14"/>
      <c r="F3" s="10"/>
      <c r="G3" s="10"/>
      <c r="H3" s="10"/>
      <c r="I3" s="10" t="s">
        <v>59</v>
      </c>
      <c r="J3" s="14" t="s">
        <v>60</v>
      </c>
      <c r="K3" s="10"/>
      <c r="L3" s="10"/>
      <c r="M3" s="10" t="s">
        <v>574</v>
      </c>
      <c r="N3" s="10" t="s">
        <v>575</v>
      </c>
      <c r="O3" s="10" t="s">
        <v>576</v>
      </c>
      <c r="P3" s="15" t="s">
        <v>577</v>
      </c>
      <c r="Q3" s="10"/>
      <c r="R3" s="10"/>
      <c r="S3" s="10"/>
      <c r="T3" s="10"/>
      <c r="U3" s="11"/>
      <c r="V3" s="10"/>
      <c r="W3" s="10"/>
      <c r="X3" s="10"/>
      <c r="Y3" s="10"/>
      <c r="Z3" s="10"/>
      <c r="AA3" s="10"/>
      <c r="AB3" s="10"/>
      <c r="AC3" s="16"/>
      <c r="AD3" s="10"/>
      <c r="AE3" s="10"/>
      <c r="AF3" s="10"/>
      <c r="AG3" s="10"/>
      <c r="AH3" s="10"/>
      <c r="AI3" s="12"/>
      <c r="AJ3" s="12"/>
      <c r="AK3" s="12"/>
      <c r="AL3" s="10"/>
      <c r="AM3" s="10"/>
      <c r="AN3" s="10"/>
      <c r="AO3" s="10"/>
      <c r="AP3" s="10"/>
    </row>
    <row r="4" spans="1:42" x14ac:dyDescent="0.2">
      <c r="A4" s="32"/>
      <c r="B4" s="13"/>
      <c r="C4" s="10"/>
      <c r="D4" s="10"/>
      <c r="E4" s="14"/>
      <c r="F4" s="10"/>
      <c r="G4" s="10"/>
      <c r="H4" s="10"/>
      <c r="I4" s="10" t="s">
        <v>61</v>
      </c>
      <c r="J4" s="14" t="s">
        <v>42</v>
      </c>
      <c r="K4" s="10"/>
      <c r="L4" s="10"/>
      <c r="M4" s="10" t="s">
        <v>578</v>
      </c>
      <c r="N4" s="10" t="s">
        <v>579</v>
      </c>
      <c r="O4" s="10" t="s">
        <v>580</v>
      </c>
      <c r="P4" s="15" t="s">
        <v>581</v>
      </c>
      <c r="Q4" s="10"/>
      <c r="R4" s="10"/>
      <c r="S4" s="10"/>
      <c r="T4" s="10"/>
      <c r="U4" s="11"/>
      <c r="V4" s="10"/>
      <c r="W4" s="10"/>
      <c r="X4" s="10"/>
      <c r="Y4" s="10"/>
      <c r="Z4" s="10"/>
      <c r="AA4" s="10"/>
      <c r="AB4" s="10"/>
      <c r="AC4" s="11"/>
      <c r="AD4" s="10"/>
      <c r="AE4" s="10"/>
      <c r="AF4" s="10"/>
      <c r="AG4" s="10"/>
      <c r="AH4" s="10"/>
      <c r="AI4" s="12"/>
      <c r="AJ4" s="12"/>
      <c r="AK4" s="12"/>
      <c r="AL4" s="10"/>
      <c r="AM4" s="10"/>
      <c r="AN4" s="10"/>
      <c r="AO4" s="10"/>
      <c r="AP4" s="10"/>
    </row>
    <row r="5" spans="1:42" x14ac:dyDescent="0.2">
      <c r="A5" s="33"/>
      <c r="B5" s="13"/>
      <c r="C5" s="10"/>
      <c r="D5" s="10"/>
      <c r="E5" s="14"/>
      <c r="F5" s="10"/>
      <c r="G5" s="10" t="s">
        <v>62</v>
      </c>
      <c r="H5" s="10" t="s">
        <v>63</v>
      </c>
      <c r="I5" s="10" t="s">
        <v>64</v>
      </c>
      <c r="J5" s="14" t="s">
        <v>38</v>
      </c>
      <c r="K5" s="10"/>
      <c r="L5" s="10"/>
      <c r="M5" s="10" t="s">
        <v>582</v>
      </c>
      <c r="N5" s="10" t="s">
        <v>583</v>
      </c>
      <c r="O5" s="10" t="s">
        <v>584</v>
      </c>
      <c r="P5" s="15" t="s">
        <v>585</v>
      </c>
      <c r="Q5" s="10"/>
      <c r="R5" s="10"/>
      <c r="S5" s="10"/>
      <c r="T5" s="10"/>
      <c r="U5" s="11"/>
      <c r="V5" s="10"/>
      <c r="W5" s="10"/>
      <c r="X5" s="10"/>
      <c r="Y5" s="10"/>
      <c r="Z5" s="10"/>
      <c r="AA5" s="10"/>
      <c r="AB5" s="10"/>
      <c r="AC5" s="16"/>
      <c r="AD5" s="10"/>
      <c r="AE5" s="10"/>
      <c r="AF5" s="10"/>
      <c r="AG5" s="10"/>
      <c r="AH5" s="10"/>
      <c r="AI5" s="12"/>
      <c r="AJ5" s="12">
        <f>AH5</f>
        <v>0</v>
      </c>
      <c r="AK5" s="12">
        <f>5750000/93463</f>
        <v>61.521671677562246</v>
      </c>
      <c r="AL5" s="10"/>
      <c r="AM5" s="10"/>
      <c r="AN5" s="10"/>
      <c r="AO5" s="10"/>
      <c r="AP5" s="10"/>
    </row>
    <row r="6" spans="1:42" x14ac:dyDescent="0.2">
      <c r="A6" s="32"/>
      <c r="B6" s="13"/>
      <c r="C6" s="10"/>
      <c r="D6" s="10"/>
      <c r="E6" s="14"/>
      <c r="F6" s="14"/>
      <c r="G6" s="10"/>
      <c r="H6" s="10"/>
      <c r="I6" s="10" t="s">
        <v>65</v>
      </c>
      <c r="J6" s="14" t="s">
        <v>66</v>
      </c>
      <c r="K6" s="10"/>
      <c r="L6" s="10"/>
      <c r="M6" s="10" t="s">
        <v>586</v>
      </c>
      <c r="N6" s="10" t="s">
        <v>587</v>
      </c>
      <c r="O6" s="10" t="s">
        <v>588</v>
      </c>
      <c r="P6" s="15" t="s">
        <v>589</v>
      </c>
      <c r="Q6" s="10"/>
      <c r="R6" s="10"/>
      <c r="S6" s="10"/>
      <c r="T6" s="10"/>
      <c r="U6" s="11"/>
      <c r="V6" s="10"/>
      <c r="W6" s="10"/>
      <c r="X6" s="10"/>
      <c r="Y6" s="10"/>
      <c r="Z6" s="10"/>
      <c r="AA6" s="10"/>
      <c r="AB6" s="10"/>
      <c r="AC6" s="11"/>
      <c r="AD6" s="10"/>
      <c r="AE6" s="10"/>
      <c r="AF6" s="10"/>
      <c r="AG6" s="10"/>
      <c r="AH6" s="10"/>
      <c r="AI6" s="12"/>
      <c r="AJ6" s="12"/>
      <c r="AK6" s="12"/>
      <c r="AL6" s="10"/>
      <c r="AM6" s="10"/>
      <c r="AN6" s="10"/>
      <c r="AO6" s="10"/>
      <c r="AP6" s="10"/>
    </row>
    <row r="7" spans="1:42" x14ac:dyDescent="0.2">
      <c r="A7" s="33"/>
      <c r="B7" s="13"/>
      <c r="C7" s="10"/>
      <c r="D7" s="10"/>
      <c r="E7" s="14"/>
      <c r="F7" s="14"/>
      <c r="G7" s="10"/>
      <c r="H7" s="10"/>
      <c r="I7" s="10" t="s">
        <v>71</v>
      </c>
      <c r="J7" s="14" t="s">
        <v>73</v>
      </c>
      <c r="K7" s="10"/>
      <c r="L7" s="10"/>
      <c r="M7" s="10" t="s">
        <v>590</v>
      </c>
      <c r="N7" s="10" t="s">
        <v>591</v>
      </c>
      <c r="O7" s="10" t="s">
        <v>592</v>
      </c>
      <c r="P7" s="15" t="s">
        <v>593</v>
      </c>
      <c r="Q7" s="10"/>
      <c r="R7" s="10"/>
      <c r="S7" s="10"/>
      <c r="T7" s="10"/>
      <c r="U7" s="11"/>
      <c r="V7" s="10"/>
      <c r="W7" s="10"/>
      <c r="X7" s="10"/>
      <c r="Y7" s="10"/>
      <c r="Z7" s="10"/>
      <c r="AA7" s="10"/>
      <c r="AB7" s="10"/>
      <c r="AC7" s="16"/>
      <c r="AD7" s="10"/>
      <c r="AE7" s="10"/>
      <c r="AF7" s="10"/>
      <c r="AG7" s="10"/>
      <c r="AH7" s="10"/>
      <c r="AI7" s="12"/>
      <c r="AJ7" s="12"/>
      <c r="AK7" s="12"/>
      <c r="AL7" s="10"/>
      <c r="AM7" s="10"/>
      <c r="AN7" s="10"/>
      <c r="AO7" s="10"/>
      <c r="AP7" s="10"/>
    </row>
    <row r="8" spans="1:42" x14ac:dyDescent="0.2">
      <c r="A8" s="32"/>
      <c r="B8" s="13"/>
      <c r="C8" s="10"/>
      <c r="D8" s="10"/>
      <c r="E8" s="14"/>
      <c r="F8" s="10"/>
      <c r="G8" s="10" t="s">
        <v>76</v>
      </c>
      <c r="H8" s="10" t="s">
        <v>78</v>
      </c>
      <c r="I8" s="10" t="s">
        <v>79</v>
      </c>
      <c r="J8" s="14" t="s">
        <v>60</v>
      </c>
      <c r="K8" s="10"/>
      <c r="L8" s="10"/>
      <c r="M8" s="10" t="s">
        <v>594</v>
      </c>
      <c r="N8" s="10" t="s">
        <v>595</v>
      </c>
      <c r="O8" s="10" t="s">
        <v>596</v>
      </c>
      <c r="P8" s="15" t="s">
        <v>597</v>
      </c>
      <c r="Q8" s="10"/>
      <c r="R8" s="10"/>
      <c r="S8" s="10"/>
      <c r="T8" s="10"/>
      <c r="U8" s="11"/>
      <c r="V8" s="10"/>
      <c r="W8" s="10"/>
      <c r="X8" s="10"/>
      <c r="Y8" s="10"/>
      <c r="Z8" s="10"/>
      <c r="AA8" s="10"/>
      <c r="AB8" s="10"/>
      <c r="AC8" s="11"/>
      <c r="AD8" s="10"/>
      <c r="AE8" s="10"/>
      <c r="AF8" s="10"/>
      <c r="AG8" s="10"/>
      <c r="AH8" s="10"/>
      <c r="AI8" s="12"/>
      <c r="AJ8" s="12">
        <f>AH8</f>
        <v>0</v>
      </c>
      <c r="AK8" s="12">
        <f>5750000/93463</f>
        <v>61.521671677562246</v>
      </c>
      <c r="AL8" s="10"/>
      <c r="AM8" s="10"/>
      <c r="AN8" s="10"/>
      <c r="AO8" s="10"/>
      <c r="AP8" s="10"/>
    </row>
    <row r="9" spans="1:42" x14ac:dyDescent="0.2">
      <c r="A9" s="33"/>
      <c r="B9" s="13"/>
      <c r="C9" s="10"/>
      <c r="D9" s="10"/>
      <c r="E9" s="14"/>
      <c r="F9" s="10"/>
      <c r="G9" s="10"/>
      <c r="H9" s="10"/>
      <c r="I9" s="10" t="s">
        <v>85</v>
      </c>
      <c r="J9" s="14" t="s">
        <v>42</v>
      </c>
      <c r="K9" s="10"/>
      <c r="L9" s="10"/>
      <c r="M9" s="10" t="s">
        <v>598</v>
      </c>
      <c r="N9" s="10" t="s">
        <v>599</v>
      </c>
      <c r="O9" s="10" t="s">
        <v>600</v>
      </c>
      <c r="P9" s="15" t="s">
        <v>601</v>
      </c>
      <c r="Q9" s="10"/>
      <c r="R9" s="10"/>
      <c r="S9" s="10"/>
      <c r="T9" s="10"/>
      <c r="U9" s="11"/>
      <c r="V9" s="10"/>
      <c r="W9" s="10"/>
      <c r="X9" s="10"/>
      <c r="Y9" s="10"/>
      <c r="Z9" s="10"/>
      <c r="AA9" s="10"/>
      <c r="AB9" s="10"/>
      <c r="AC9" s="16"/>
      <c r="AD9" s="10"/>
      <c r="AE9" s="10"/>
      <c r="AF9" s="10"/>
      <c r="AG9" s="10"/>
      <c r="AH9" s="10"/>
      <c r="AI9" s="12"/>
      <c r="AJ9" s="12"/>
      <c r="AK9" s="12"/>
      <c r="AL9" s="10"/>
      <c r="AM9" s="10"/>
      <c r="AN9" s="10"/>
      <c r="AO9" s="10"/>
      <c r="AP9" s="10"/>
    </row>
    <row r="10" spans="1:42" x14ac:dyDescent="0.2">
      <c r="A10" s="32"/>
      <c r="B10" s="13"/>
      <c r="C10" s="10"/>
      <c r="D10" s="10"/>
      <c r="E10" s="14"/>
      <c r="F10" s="10"/>
      <c r="G10" s="10" t="s">
        <v>88</v>
      </c>
      <c r="H10" s="10" t="s">
        <v>90</v>
      </c>
      <c r="I10" s="10" t="s">
        <v>91</v>
      </c>
      <c r="J10" s="14" t="s">
        <v>42</v>
      </c>
      <c r="K10" s="10"/>
      <c r="L10" s="10"/>
      <c r="M10" s="10"/>
      <c r="N10" s="10"/>
      <c r="O10" s="10"/>
      <c r="P10" s="15"/>
      <c r="Q10" s="10"/>
      <c r="R10" s="10"/>
      <c r="S10" s="10"/>
      <c r="T10" s="10"/>
      <c r="U10" s="11"/>
      <c r="V10" s="10"/>
      <c r="W10" s="10"/>
      <c r="X10" s="10"/>
      <c r="Y10" s="10"/>
      <c r="Z10" s="10"/>
      <c r="AA10" s="10"/>
      <c r="AB10" s="10"/>
      <c r="AC10" s="11"/>
      <c r="AD10" s="10"/>
      <c r="AE10" s="10"/>
      <c r="AF10" s="10"/>
      <c r="AG10" s="10"/>
      <c r="AH10" s="10"/>
      <c r="AI10" s="12"/>
      <c r="AJ10" s="12"/>
      <c r="AK10" s="12"/>
      <c r="AL10" s="10"/>
      <c r="AM10" s="10"/>
      <c r="AN10" s="10"/>
      <c r="AO10" s="10"/>
      <c r="AP10" s="10"/>
    </row>
    <row r="11" spans="1:42" x14ac:dyDescent="0.2">
      <c r="A11" s="33"/>
      <c r="B11" s="13"/>
      <c r="C11" s="10"/>
      <c r="D11" s="10"/>
      <c r="E11" s="14"/>
      <c r="F11" s="10"/>
      <c r="G11" s="10"/>
      <c r="H11" s="10"/>
      <c r="I11" s="10" t="s">
        <v>96</v>
      </c>
      <c r="J11" s="14" t="s">
        <v>42</v>
      </c>
      <c r="K11" s="10"/>
      <c r="L11" s="10"/>
      <c r="M11" s="10"/>
      <c r="N11" s="10"/>
      <c r="O11" s="10"/>
      <c r="P11" s="15"/>
      <c r="Q11" s="10"/>
      <c r="R11" s="10"/>
      <c r="S11" s="10"/>
      <c r="T11" s="10"/>
      <c r="U11" s="11"/>
      <c r="V11" s="10"/>
      <c r="W11" s="10"/>
      <c r="X11" s="10"/>
      <c r="Y11" s="10"/>
      <c r="Z11" s="10"/>
      <c r="AA11" s="10"/>
      <c r="AB11" s="10"/>
      <c r="AC11" s="16"/>
      <c r="AD11" s="10"/>
      <c r="AE11" s="10"/>
      <c r="AF11" s="10"/>
      <c r="AG11" s="10"/>
      <c r="AH11" s="10"/>
      <c r="AI11" s="12"/>
      <c r="AJ11" s="12"/>
      <c r="AK11" s="12"/>
      <c r="AL11" s="10"/>
      <c r="AM11" s="10"/>
      <c r="AN11" s="10"/>
      <c r="AO11" s="10"/>
      <c r="AP11" s="10"/>
    </row>
    <row r="12" spans="1:42" x14ac:dyDescent="0.2">
      <c r="A12" s="34"/>
      <c r="B12" s="17"/>
      <c r="C12" s="18"/>
      <c r="D12" s="18"/>
      <c r="E12" s="19"/>
      <c r="F12" s="18"/>
      <c r="G12" s="18"/>
      <c r="H12" s="18"/>
      <c r="I12" s="18" t="s">
        <v>101</v>
      </c>
      <c r="J12" s="19" t="s">
        <v>42</v>
      </c>
      <c r="K12" s="18"/>
      <c r="L12" s="18"/>
      <c r="M12" s="18"/>
      <c r="N12" s="18"/>
      <c r="O12" s="18"/>
      <c r="P12" s="20"/>
      <c r="Q12" s="10"/>
      <c r="R12" s="10"/>
      <c r="S12" s="10"/>
      <c r="T12" s="10"/>
      <c r="U12" s="11"/>
      <c r="V12" s="10"/>
      <c r="W12" s="10"/>
      <c r="X12" s="10"/>
      <c r="Y12" s="10"/>
      <c r="Z12" s="10"/>
      <c r="AA12" s="10"/>
      <c r="AB12" s="10"/>
      <c r="AC12" s="11"/>
      <c r="AD12" s="10"/>
      <c r="AE12" s="10"/>
      <c r="AF12" s="10"/>
      <c r="AG12" s="10"/>
      <c r="AH12" s="10"/>
      <c r="AI12" s="12"/>
      <c r="AJ12" s="12">
        <f t="shared" ref="AJ12:AJ13" si="0">AH12</f>
        <v>0</v>
      </c>
      <c r="AK12" s="12">
        <f>5750000/93463</f>
        <v>61.521671677562246</v>
      </c>
      <c r="AL12" s="10"/>
      <c r="AM12" s="10"/>
      <c r="AN12" s="10"/>
      <c r="AO12" s="10"/>
      <c r="AP12" s="10"/>
    </row>
    <row r="13" spans="1:42" x14ac:dyDescent="0.2">
      <c r="A13" s="31" t="s">
        <v>67</v>
      </c>
      <c r="B13" s="7" t="s">
        <v>74</v>
      </c>
      <c r="C13" s="7" t="s">
        <v>68</v>
      </c>
      <c r="D13" s="7" t="s">
        <v>69</v>
      </c>
      <c r="E13" s="8" t="s">
        <v>106</v>
      </c>
      <c r="F13" s="7"/>
      <c r="G13" s="7" t="s">
        <v>107</v>
      </c>
      <c r="H13" s="7" t="s">
        <v>108</v>
      </c>
      <c r="I13" s="7" t="s">
        <v>109</v>
      </c>
      <c r="J13" s="8" t="s">
        <v>111</v>
      </c>
      <c r="K13" s="27" t="s">
        <v>82</v>
      </c>
      <c r="L13" s="7"/>
      <c r="M13" s="7" t="s">
        <v>602</v>
      </c>
      <c r="N13" s="7" t="s">
        <v>108</v>
      </c>
      <c r="O13" s="7" t="s">
        <v>603</v>
      </c>
      <c r="P13" s="9" t="s">
        <v>604</v>
      </c>
      <c r="Q13" s="10"/>
      <c r="R13" s="10" t="s">
        <v>72</v>
      </c>
      <c r="S13" s="10">
        <v>1999</v>
      </c>
      <c r="T13" s="10">
        <f>2026-S13</f>
        <v>27</v>
      </c>
      <c r="U13" s="11"/>
      <c r="V13" s="10" t="s">
        <v>75</v>
      </c>
      <c r="W13" s="10" t="s">
        <v>46</v>
      </c>
      <c r="X13" s="10" t="s">
        <v>77</v>
      </c>
      <c r="Y13" s="10" t="s">
        <v>80</v>
      </c>
      <c r="Z13" s="10" t="s">
        <v>81</v>
      </c>
      <c r="AA13" s="10" t="s">
        <v>50</v>
      </c>
      <c r="AB13" s="10"/>
      <c r="AC13" s="16"/>
      <c r="AD13" s="10" t="s">
        <v>52</v>
      </c>
      <c r="AE13" s="10"/>
      <c r="AF13" s="10" t="s">
        <v>83</v>
      </c>
      <c r="AG13" s="10" t="s">
        <v>84</v>
      </c>
      <c r="AH13" s="10" t="s">
        <v>55</v>
      </c>
      <c r="AI13" s="12">
        <v>16350000</v>
      </c>
      <c r="AJ13" s="12" t="str">
        <f t="shared" si="0"/>
        <v>USD</v>
      </c>
      <c r="AK13" s="12">
        <f>AI13/600</f>
        <v>27250</v>
      </c>
      <c r="AL13" s="10" t="s">
        <v>70</v>
      </c>
      <c r="AM13" s="10" t="s">
        <v>86</v>
      </c>
      <c r="AN13" s="10" t="s">
        <v>87</v>
      </c>
      <c r="AO13" s="10"/>
      <c r="AP13" s="10"/>
    </row>
    <row r="14" spans="1:42" x14ac:dyDescent="0.2">
      <c r="A14" s="32"/>
      <c r="B14" s="10"/>
      <c r="C14" s="10"/>
      <c r="D14" s="10"/>
      <c r="E14" s="14"/>
      <c r="F14" s="10"/>
      <c r="G14" s="10"/>
      <c r="H14" s="10"/>
      <c r="I14" s="10" t="s">
        <v>117</v>
      </c>
      <c r="J14" s="14" t="s">
        <v>111</v>
      </c>
      <c r="K14" s="24"/>
      <c r="L14" s="10"/>
      <c r="M14" s="10"/>
      <c r="N14" s="10"/>
      <c r="O14" s="10" t="s">
        <v>605</v>
      </c>
      <c r="P14" s="15" t="s">
        <v>606</v>
      </c>
      <c r="Q14" s="10"/>
      <c r="R14" s="10"/>
      <c r="S14" s="10"/>
      <c r="T14" s="10"/>
      <c r="U14" s="11"/>
      <c r="V14" s="10"/>
      <c r="W14" s="10"/>
      <c r="X14" s="10"/>
      <c r="Y14" s="10"/>
      <c r="Z14" s="10"/>
      <c r="AA14" s="10"/>
      <c r="AB14" s="10"/>
      <c r="AC14" s="11"/>
      <c r="AD14" s="10"/>
      <c r="AE14" s="10"/>
      <c r="AF14" s="10"/>
      <c r="AG14" s="10"/>
      <c r="AH14" s="10"/>
      <c r="AI14" s="12"/>
      <c r="AJ14" s="12"/>
      <c r="AK14" s="12"/>
      <c r="AL14" s="10"/>
      <c r="AM14" s="10"/>
      <c r="AN14" s="10"/>
      <c r="AO14" s="10"/>
      <c r="AP14" s="10"/>
    </row>
    <row r="15" spans="1:42" x14ac:dyDescent="0.2">
      <c r="A15" s="33"/>
      <c r="B15" s="10"/>
      <c r="C15" s="10"/>
      <c r="D15" s="10"/>
      <c r="E15" s="14"/>
      <c r="F15" s="10"/>
      <c r="G15" s="10" t="s">
        <v>124</v>
      </c>
      <c r="H15" s="10" t="s">
        <v>126</v>
      </c>
      <c r="I15" s="10" t="s">
        <v>127</v>
      </c>
      <c r="J15" s="14" t="s">
        <v>129</v>
      </c>
      <c r="K15" s="24"/>
      <c r="L15" s="10"/>
      <c r="M15" s="10" t="s">
        <v>607</v>
      </c>
      <c r="N15" s="10" t="s">
        <v>126</v>
      </c>
      <c r="O15" s="10" t="s">
        <v>608</v>
      </c>
      <c r="P15" s="15" t="s">
        <v>609</v>
      </c>
      <c r="Q15" s="10"/>
      <c r="R15" s="10"/>
      <c r="S15" s="10"/>
      <c r="T15" s="10">
        <f t="shared" ref="T15:T16" si="1">2026-S15</f>
        <v>2026</v>
      </c>
      <c r="U15" s="11"/>
      <c r="V15" s="10"/>
      <c r="W15" s="10"/>
      <c r="X15" s="10"/>
      <c r="Y15" s="10"/>
      <c r="Z15" s="10"/>
      <c r="AA15" s="10"/>
      <c r="AB15" s="10"/>
      <c r="AC15" s="16"/>
      <c r="AD15" s="10"/>
      <c r="AE15" s="10"/>
      <c r="AF15" s="10"/>
      <c r="AG15" s="10"/>
      <c r="AH15" s="10"/>
      <c r="AI15" s="12"/>
      <c r="AJ15" s="12">
        <f t="shared" ref="AJ15:AJ16" si="2">AH15</f>
        <v>0</v>
      </c>
      <c r="AK15" s="12">
        <f t="shared" ref="AK15:AK16" si="3">AI15/600</f>
        <v>0</v>
      </c>
      <c r="AL15" s="10"/>
      <c r="AM15" s="10"/>
      <c r="AN15" s="10"/>
      <c r="AO15" s="10"/>
      <c r="AP15" s="10"/>
    </row>
    <row r="16" spans="1:42" x14ac:dyDescent="0.2">
      <c r="A16" s="34"/>
      <c r="B16" s="18"/>
      <c r="C16" s="18"/>
      <c r="D16" s="18"/>
      <c r="E16" s="19"/>
      <c r="F16" s="18"/>
      <c r="G16" s="18" t="s">
        <v>133</v>
      </c>
      <c r="H16" s="18" t="s">
        <v>135</v>
      </c>
      <c r="I16" s="18" t="s">
        <v>136</v>
      </c>
      <c r="J16" s="19" t="s">
        <v>137</v>
      </c>
      <c r="K16" s="28"/>
      <c r="L16" s="18"/>
      <c r="M16" s="18" t="s">
        <v>610</v>
      </c>
      <c r="N16" s="18" t="s">
        <v>135</v>
      </c>
      <c r="O16" s="18" t="s">
        <v>611</v>
      </c>
      <c r="P16" s="20" t="s">
        <v>612</v>
      </c>
      <c r="Q16" s="10"/>
      <c r="R16" s="10"/>
      <c r="S16" s="10"/>
      <c r="T16" s="10">
        <f t="shared" si="1"/>
        <v>2026</v>
      </c>
      <c r="U16" s="11"/>
      <c r="V16" s="10"/>
      <c r="W16" s="10"/>
      <c r="X16" s="10"/>
      <c r="Y16" s="10"/>
      <c r="Z16" s="10"/>
      <c r="AA16" s="10"/>
      <c r="AB16" s="10"/>
      <c r="AC16" s="11"/>
      <c r="AD16" s="10"/>
      <c r="AE16" s="10"/>
      <c r="AF16" s="10"/>
      <c r="AG16" s="10"/>
      <c r="AH16" s="10"/>
      <c r="AI16" s="12"/>
      <c r="AJ16" s="12">
        <f t="shared" si="2"/>
        <v>0</v>
      </c>
      <c r="AK16" s="12">
        <f t="shared" si="3"/>
        <v>0</v>
      </c>
      <c r="AL16" s="10"/>
      <c r="AM16" s="10"/>
      <c r="AN16" s="10"/>
      <c r="AO16" s="10"/>
      <c r="AP16" s="10"/>
    </row>
    <row r="17" spans="1:42" x14ac:dyDescent="0.2">
      <c r="A17" s="31" t="s">
        <v>142</v>
      </c>
      <c r="B17" s="7" t="s">
        <v>143</v>
      </c>
      <c r="C17" s="7" t="s">
        <v>144</v>
      </c>
      <c r="D17" s="7" t="s">
        <v>145</v>
      </c>
      <c r="E17" s="8" t="s">
        <v>146</v>
      </c>
      <c r="F17" s="7"/>
      <c r="G17" s="7" t="s">
        <v>147</v>
      </c>
      <c r="H17" s="7" t="s">
        <v>148</v>
      </c>
      <c r="I17" s="7" t="s">
        <v>149</v>
      </c>
      <c r="J17" s="8" t="s">
        <v>150</v>
      </c>
      <c r="K17" s="7" t="s">
        <v>613</v>
      </c>
      <c r="L17" s="7"/>
      <c r="M17" s="7"/>
      <c r="N17" s="7"/>
      <c r="O17" s="7"/>
      <c r="P17" s="9"/>
      <c r="Q17" s="10"/>
      <c r="R17" s="10" t="s">
        <v>152</v>
      </c>
      <c r="S17" s="10" t="s">
        <v>153</v>
      </c>
      <c r="T17" s="10" t="s">
        <v>154</v>
      </c>
      <c r="U17" s="11"/>
      <c r="V17" s="10" t="s">
        <v>155</v>
      </c>
      <c r="W17" s="10" t="s">
        <v>46</v>
      </c>
      <c r="X17" s="10" t="s">
        <v>157</v>
      </c>
      <c r="Y17" s="10" t="s">
        <v>159</v>
      </c>
      <c r="Z17" s="10" t="s">
        <v>160</v>
      </c>
      <c r="AA17" s="10" t="s">
        <v>161</v>
      </c>
      <c r="AB17" s="10"/>
      <c r="AC17" s="16"/>
      <c r="AD17" s="10" t="s">
        <v>163</v>
      </c>
      <c r="AE17" s="10"/>
      <c r="AF17" s="10"/>
      <c r="AG17" s="10" t="s">
        <v>165</v>
      </c>
      <c r="AH17" s="10"/>
      <c r="AI17" s="12"/>
      <c r="AJ17" s="10"/>
      <c r="AK17" s="12"/>
      <c r="AL17" s="10" t="s">
        <v>167</v>
      </c>
      <c r="AM17" s="10" t="s">
        <v>168</v>
      </c>
      <c r="AN17" s="10" t="s">
        <v>169</v>
      </c>
      <c r="AO17" s="14"/>
      <c r="AP17" s="14"/>
    </row>
    <row r="18" spans="1:42" x14ac:dyDescent="0.2">
      <c r="A18" s="32"/>
      <c r="B18" s="10"/>
      <c r="C18" s="10"/>
      <c r="D18" s="10"/>
      <c r="E18" s="10"/>
      <c r="F18" s="10"/>
      <c r="G18" s="10"/>
      <c r="H18" s="10"/>
      <c r="I18" s="10" t="s">
        <v>171</v>
      </c>
      <c r="J18" s="14" t="s">
        <v>150</v>
      </c>
      <c r="K18" s="10" t="s">
        <v>614</v>
      </c>
      <c r="L18" s="10" t="s">
        <v>615</v>
      </c>
      <c r="M18" s="10" t="s">
        <v>616</v>
      </c>
      <c r="N18" s="10" t="s">
        <v>617</v>
      </c>
      <c r="O18" s="10" t="s">
        <v>618</v>
      </c>
      <c r="P18" s="15" t="s">
        <v>619</v>
      </c>
      <c r="Q18" s="10"/>
      <c r="R18" s="10"/>
      <c r="S18" s="10"/>
      <c r="T18" s="10"/>
      <c r="U18" s="11"/>
      <c r="V18" s="10"/>
      <c r="W18" s="10"/>
      <c r="X18" s="10"/>
      <c r="Y18" s="10"/>
      <c r="Z18" s="10"/>
      <c r="AA18" s="10"/>
      <c r="AB18" s="10"/>
      <c r="AC18" s="11"/>
      <c r="AD18" s="10"/>
      <c r="AE18" s="10"/>
      <c r="AF18" s="10"/>
      <c r="AG18" s="10"/>
      <c r="AH18" s="10"/>
      <c r="AI18" s="12"/>
      <c r="AJ18" s="10"/>
      <c r="AK18" s="12"/>
      <c r="AL18" s="10"/>
      <c r="AM18" s="10"/>
      <c r="AN18" s="10"/>
      <c r="AO18" s="14"/>
      <c r="AP18" s="14"/>
    </row>
    <row r="19" spans="1:42" x14ac:dyDescent="0.2">
      <c r="A19" s="33"/>
      <c r="B19" s="10"/>
      <c r="C19" s="10"/>
      <c r="D19" s="10"/>
      <c r="E19" s="10"/>
      <c r="F19" s="10"/>
      <c r="G19" s="10"/>
      <c r="H19" s="10"/>
      <c r="I19" s="10"/>
      <c r="J19" s="14"/>
      <c r="K19" s="10" t="s">
        <v>614</v>
      </c>
      <c r="L19" s="10" t="s">
        <v>615</v>
      </c>
      <c r="M19" s="10" t="s">
        <v>620</v>
      </c>
      <c r="N19" s="10" t="s">
        <v>621</v>
      </c>
      <c r="O19" s="10" t="s">
        <v>622</v>
      </c>
      <c r="P19" s="15" t="s">
        <v>623</v>
      </c>
      <c r="Q19" s="10"/>
      <c r="R19" s="10"/>
      <c r="S19" s="10"/>
      <c r="T19" s="10"/>
      <c r="U19" s="11"/>
      <c r="V19" s="10"/>
      <c r="W19" s="10"/>
      <c r="X19" s="10"/>
      <c r="Y19" s="10"/>
      <c r="Z19" s="10"/>
      <c r="AA19" s="10"/>
      <c r="AB19" s="10"/>
      <c r="AC19" s="16"/>
      <c r="AD19" s="10"/>
      <c r="AE19" s="10"/>
      <c r="AF19" s="10"/>
      <c r="AG19" s="10"/>
      <c r="AH19" s="10"/>
      <c r="AI19" s="12"/>
      <c r="AJ19" s="10"/>
      <c r="AK19" s="12"/>
      <c r="AL19" s="10"/>
      <c r="AM19" s="10"/>
      <c r="AN19" s="10"/>
      <c r="AO19" s="14"/>
      <c r="AP19" s="14"/>
    </row>
    <row r="20" spans="1:42" x14ac:dyDescent="0.2">
      <c r="A20" s="32"/>
      <c r="B20" s="10"/>
      <c r="C20" s="10"/>
      <c r="D20" s="10"/>
      <c r="E20" s="10"/>
      <c r="F20" s="10"/>
      <c r="G20" s="10"/>
      <c r="H20" s="10"/>
      <c r="I20" s="10"/>
      <c r="J20" s="14"/>
      <c r="K20" s="10" t="s">
        <v>614</v>
      </c>
      <c r="L20" s="10" t="s">
        <v>615</v>
      </c>
      <c r="M20" s="10" t="s">
        <v>624</v>
      </c>
      <c r="N20" s="10" t="s">
        <v>625</v>
      </c>
      <c r="O20" s="10" t="s">
        <v>626</v>
      </c>
      <c r="P20" s="15" t="s">
        <v>627</v>
      </c>
      <c r="Q20" s="10"/>
      <c r="R20" s="10"/>
      <c r="S20" s="10"/>
      <c r="T20" s="10"/>
      <c r="U20" s="11"/>
      <c r="V20" s="10"/>
      <c r="W20" s="10"/>
      <c r="X20" s="10"/>
      <c r="Y20" s="10"/>
      <c r="Z20" s="10"/>
      <c r="AA20" s="10"/>
      <c r="AB20" s="10"/>
      <c r="AC20" s="11"/>
      <c r="AD20" s="10"/>
      <c r="AE20" s="10"/>
      <c r="AF20" s="10"/>
      <c r="AG20" s="10"/>
      <c r="AH20" s="10"/>
      <c r="AI20" s="12"/>
      <c r="AJ20" s="10"/>
      <c r="AK20" s="12"/>
      <c r="AL20" s="10"/>
      <c r="AM20" s="10"/>
      <c r="AN20" s="10"/>
      <c r="AO20" s="14"/>
      <c r="AP20" s="14"/>
    </row>
    <row r="21" spans="1:42" x14ac:dyDescent="0.2">
      <c r="A21" s="33"/>
      <c r="B21" s="10"/>
      <c r="C21" s="10"/>
      <c r="D21" s="10"/>
      <c r="E21" s="10"/>
      <c r="F21" s="10"/>
      <c r="G21" s="10"/>
      <c r="H21" s="10"/>
      <c r="I21" s="10"/>
      <c r="J21" s="14"/>
      <c r="K21" s="10" t="s">
        <v>614</v>
      </c>
      <c r="L21" s="10" t="s">
        <v>615</v>
      </c>
      <c r="M21" s="10" t="s">
        <v>628</v>
      </c>
      <c r="N21" s="10" t="s">
        <v>629</v>
      </c>
      <c r="O21" s="10" t="s">
        <v>630</v>
      </c>
      <c r="P21" s="15" t="s">
        <v>631</v>
      </c>
      <c r="Q21" s="10"/>
      <c r="R21" s="10"/>
      <c r="S21" s="10"/>
      <c r="T21" s="10"/>
      <c r="U21" s="11"/>
      <c r="V21" s="10"/>
      <c r="W21" s="10"/>
      <c r="X21" s="10"/>
      <c r="Y21" s="10"/>
      <c r="Z21" s="10"/>
      <c r="AA21" s="10"/>
      <c r="AB21" s="10"/>
      <c r="AC21" s="16"/>
      <c r="AD21" s="10"/>
      <c r="AE21" s="10"/>
      <c r="AF21" s="10"/>
      <c r="AG21" s="10"/>
      <c r="AH21" s="10"/>
      <c r="AI21" s="12"/>
      <c r="AJ21" s="10"/>
      <c r="AK21" s="12"/>
      <c r="AL21" s="10"/>
      <c r="AM21" s="10"/>
      <c r="AN21" s="10"/>
      <c r="AO21" s="14"/>
      <c r="AP21" s="14"/>
    </row>
    <row r="22" spans="1:42" x14ac:dyDescent="0.2">
      <c r="A22" s="32"/>
      <c r="B22" s="10"/>
      <c r="C22" s="10"/>
      <c r="D22" s="10"/>
      <c r="E22" s="10"/>
      <c r="F22" s="10"/>
      <c r="G22" s="10"/>
      <c r="H22" s="10"/>
      <c r="I22" s="10"/>
      <c r="J22" s="14"/>
      <c r="K22" s="10" t="s">
        <v>614</v>
      </c>
      <c r="L22" s="10" t="s">
        <v>615</v>
      </c>
      <c r="M22" s="10" t="s">
        <v>632</v>
      </c>
      <c r="N22" s="10" t="s">
        <v>633</v>
      </c>
      <c r="O22" s="10" t="s">
        <v>634</v>
      </c>
      <c r="P22" s="15" t="s">
        <v>635</v>
      </c>
      <c r="Q22" s="10"/>
      <c r="R22" s="10"/>
      <c r="S22" s="10"/>
      <c r="T22" s="10"/>
      <c r="U22" s="11"/>
      <c r="V22" s="10"/>
      <c r="W22" s="10"/>
      <c r="X22" s="10"/>
      <c r="Y22" s="10"/>
      <c r="Z22" s="10"/>
      <c r="AA22" s="10"/>
      <c r="AB22" s="10"/>
      <c r="AC22" s="11"/>
      <c r="AD22" s="10"/>
      <c r="AE22" s="10"/>
      <c r="AF22" s="10"/>
      <c r="AG22" s="10"/>
      <c r="AH22" s="10"/>
      <c r="AI22" s="12"/>
      <c r="AJ22" s="10"/>
      <c r="AK22" s="12"/>
      <c r="AL22" s="10"/>
      <c r="AM22" s="10"/>
      <c r="AN22" s="10"/>
      <c r="AO22" s="14"/>
      <c r="AP22" s="14"/>
    </row>
    <row r="23" spans="1:42" x14ac:dyDescent="0.2">
      <c r="A23" s="33"/>
      <c r="B23" s="10"/>
      <c r="C23" s="10"/>
      <c r="D23" s="10"/>
      <c r="E23" s="10"/>
      <c r="F23" s="10"/>
      <c r="G23" s="10"/>
      <c r="H23" s="10"/>
      <c r="I23" s="10"/>
      <c r="J23" s="14"/>
      <c r="K23" s="10" t="s">
        <v>614</v>
      </c>
      <c r="L23" s="10" t="s">
        <v>615</v>
      </c>
      <c r="M23" s="10" t="s">
        <v>636</v>
      </c>
      <c r="N23" s="10" t="s">
        <v>637</v>
      </c>
      <c r="O23" s="10" t="s">
        <v>638</v>
      </c>
      <c r="P23" s="15" t="s">
        <v>639</v>
      </c>
      <c r="Q23" s="10"/>
      <c r="R23" s="10"/>
      <c r="S23" s="10"/>
      <c r="T23" s="10"/>
      <c r="U23" s="11"/>
      <c r="V23" s="10"/>
      <c r="W23" s="10"/>
      <c r="X23" s="10"/>
      <c r="Y23" s="10"/>
      <c r="Z23" s="10"/>
      <c r="AA23" s="10"/>
      <c r="AB23" s="10"/>
      <c r="AC23" s="16"/>
      <c r="AD23" s="10"/>
      <c r="AE23" s="10"/>
      <c r="AF23" s="10"/>
      <c r="AG23" s="10"/>
      <c r="AH23" s="10"/>
      <c r="AI23" s="12"/>
      <c r="AJ23" s="10"/>
      <c r="AK23" s="12"/>
      <c r="AL23" s="10"/>
      <c r="AM23" s="10"/>
      <c r="AN23" s="10"/>
      <c r="AO23" s="14"/>
      <c r="AP23" s="14"/>
    </row>
    <row r="24" spans="1:42" x14ac:dyDescent="0.2">
      <c r="A24" s="32"/>
      <c r="B24" s="10"/>
      <c r="C24" s="10"/>
      <c r="D24" s="10"/>
      <c r="E24" s="10"/>
      <c r="F24" s="10"/>
      <c r="G24" s="10" t="s">
        <v>173</v>
      </c>
      <c r="H24" s="10" t="s">
        <v>175</v>
      </c>
      <c r="I24" s="10" t="s">
        <v>176</v>
      </c>
      <c r="J24" s="14" t="s">
        <v>150</v>
      </c>
      <c r="K24" s="10" t="s">
        <v>614</v>
      </c>
      <c r="L24" s="10" t="s">
        <v>640</v>
      </c>
      <c r="M24" s="10" t="s">
        <v>641</v>
      </c>
      <c r="N24" s="10" t="s">
        <v>642</v>
      </c>
      <c r="O24" s="10" t="s">
        <v>643</v>
      </c>
      <c r="P24" s="15" t="s">
        <v>644</v>
      </c>
      <c r="Q24" s="10"/>
      <c r="R24" s="10"/>
      <c r="S24" s="10"/>
      <c r="T24" s="10"/>
      <c r="U24" s="11"/>
      <c r="V24" s="10"/>
      <c r="W24" s="10"/>
      <c r="X24" s="10"/>
      <c r="Y24" s="10"/>
      <c r="Z24" s="10"/>
      <c r="AA24" s="10"/>
      <c r="AB24" s="10"/>
      <c r="AC24" s="11"/>
      <c r="AD24" s="10"/>
      <c r="AE24" s="10"/>
      <c r="AF24" s="10"/>
      <c r="AG24" s="10"/>
      <c r="AH24" s="10"/>
      <c r="AI24" s="12"/>
      <c r="AJ24" s="10"/>
      <c r="AK24" s="12"/>
      <c r="AL24" s="10"/>
      <c r="AM24" s="10"/>
      <c r="AN24" s="10"/>
      <c r="AO24" s="21"/>
      <c r="AP24" s="21"/>
    </row>
    <row r="25" spans="1:42" x14ac:dyDescent="0.2">
      <c r="A25" s="33"/>
      <c r="B25" s="10"/>
      <c r="C25" s="10"/>
      <c r="D25" s="10"/>
      <c r="E25" s="10"/>
      <c r="F25" s="10"/>
      <c r="G25" s="10"/>
      <c r="H25" s="10"/>
      <c r="I25" s="10"/>
      <c r="J25" s="14"/>
      <c r="K25" s="10" t="s">
        <v>614</v>
      </c>
      <c r="L25" s="10" t="s">
        <v>640</v>
      </c>
      <c r="M25" s="10" t="s">
        <v>645</v>
      </c>
      <c r="N25" s="10" t="s">
        <v>646</v>
      </c>
      <c r="O25" s="10" t="s">
        <v>647</v>
      </c>
      <c r="P25" s="15" t="s">
        <v>648</v>
      </c>
      <c r="Q25" s="10"/>
      <c r="R25" s="10"/>
      <c r="S25" s="10"/>
      <c r="T25" s="10"/>
      <c r="U25" s="11"/>
      <c r="V25" s="10"/>
      <c r="W25" s="10"/>
      <c r="X25" s="10"/>
      <c r="Y25" s="10"/>
      <c r="Z25" s="10"/>
      <c r="AA25" s="10"/>
      <c r="AB25" s="10"/>
      <c r="AC25" s="16"/>
      <c r="AD25" s="10"/>
      <c r="AE25" s="10"/>
      <c r="AF25" s="10"/>
      <c r="AG25" s="10"/>
      <c r="AH25" s="10"/>
      <c r="AI25" s="12"/>
      <c r="AJ25" s="10"/>
      <c r="AK25" s="12"/>
      <c r="AL25" s="10"/>
      <c r="AM25" s="10"/>
      <c r="AN25" s="10"/>
      <c r="AO25" s="21"/>
      <c r="AP25" s="21"/>
    </row>
    <row r="26" spans="1:42" x14ac:dyDescent="0.2">
      <c r="A26" s="32"/>
      <c r="B26" s="10"/>
      <c r="C26" s="10"/>
      <c r="D26" s="10"/>
      <c r="E26" s="10"/>
      <c r="F26" s="10"/>
      <c r="G26" s="10"/>
      <c r="H26" s="10"/>
      <c r="I26" s="10"/>
      <c r="J26" s="14"/>
      <c r="K26" s="10" t="s">
        <v>614</v>
      </c>
      <c r="L26" s="10" t="s">
        <v>640</v>
      </c>
      <c r="M26" s="10" t="s">
        <v>649</v>
      </c>
      <c r="N26" s="10" t="s">
        <v>650</v>
      </c>
      <c r="O26" s="10" t="s">
        <v>651</v>
      </c>
      <c r="P26" s="15" t="s">
        <v>652</v>
      </c>
      <c r="Q26" s="10"/>
      <c r="R26" s="10"/>
      <c r="S26" s="10"/>
      <c r="T26" s="10"/>
      <c r="U26" s="11"/>
      <c r="V26" s="10"/>
      <c r="W26" s="10"/>
      <c r="X26" s="10"/>
      <c r="Y26" s="10"/>
      <c r="Z26" s="10"/>
      <c r="AA26" s="10"/>
      <c r="AB26" s="10"/>
      <c r="AC26" s="11"/>
      <c r="AD26" s="10"/>
      <c r="AE26" s="10"/>
      <c r="AF26" s="10"/>
      <c r="AG26" s="10"/>
      <c r="AH26" s="10"/>
      <c r="AI26" s="12"/>
      <c r="AJ26" s="10"/>
      <c r="AK26" s="12"/>
      <c r="AL26" s="10"/>
      <c r="AM26" s="10"/>
      <c r="AN26" s="10"/>
      <c r="AO26" s="21"/>
      <c r="AP26" s="21"/>
    </row>
    <row r="27" spans="1:42" x14ac:dyDescent="0.2">
      <c r="A27" s="33"/>
      <c r="B27" s="10"/>
      <c r="C27" s="10"/>
      <c r="D27" s="10"/>
      <c r="E27" s="10"/>
      <c r="F27" s="10"/>
      <c r="G27" s="10"/>
      <c r="H27" s="10"/>
      <c r="I27" s="10"/>
      <c r="J27" s="14"/>
      <c r="K27" s="10" t="s">
        <v>614</v>
      </c>
      <c r="L27" s="10" t="s">
        <v>640</v>
      </c>
      <c r="M27" s="10" t="s">
        <v>653</v>
      </c>
      <c r="N27" s="10" t="s">
        <v>654</v>
      </c>
      <c r="O27" s="10" t="s">
        <v>655</v>
      </c>
      <c r="P27" s="15" t="s">
        <v>656</v>
      </c>
      <c r="Q27" s="10"/>
      <c r="R27" s="10"/>
      <c r="S27" s="10"/>
      <c r="T27" s="10"/>
      <c r="U27" s="11"/>
      <c r="V27" s="10"/>
      <c r="W27" s="10"/>
      <c r="X27" s="10"/>
      <c r="Y27" s="10"/>
      <c r="Z27" s="10"/>
      <c r="AA27" s="10"/>
      <c r="AB27" s="10"/>
      <c r="AC27" s="16"/>
      <c r="AD27" s="10"/>
      <c r="AE27" s="10"/>
      <c r="AF27" s="10"/>
      <c r="AG27" s="10"/>
      <c r="AH27" s="10"/>
      <c r="AI27" s="12"/>
      <c r="AJ27" s="10"/>
      <c r="AK27" s="12"/>
      <c r="AL27" s="10"/>
      <c r="AM27" s="10"/>
      <c r="AN27" s="10"/>
      <c r="AO27" s="21"/>
      <c r="AP27" s="21"/>
    </row>
    <row r="28" spans="1:42" x14ac:dyDescent="0.2">
      <c r="A28" s="32"/>
      <c r="B28" s="10"/>
      <c r="C28" s="10"/>
      <c r="D28" s="10"/>
      <c r="E28" s="10"/>
      <c r="F28" s="10"/>
      <c r="G28" s="10"/>
      <c r="H28" s="10"/>
      <c r="I28" s="10"/>
      <c r="J28" s="14"/>
      <c r="K28" s="10" t="s">
        <v>614</v>
      </c>
      <c r="L28" s="10" t="s">
        <v>640</v>
      </c>
      <c r="M28" s="10" t="s">
        <v>657</v>
      </c>
      <c r="N28" s="10" t="s">
        <v>658</v>
      </c>
      <c r="O28" s="10" t="s">
        <v>659</v>
      </c>
      <c r="P28" s="15" t="s">
        <v>660</v>
      </c>
      <c r="Q28" s="10"/>
      <c r="R28" s="10"/>
      <c r="S28" s="10"/>
      <c r="T28" s="10"/>
      <c r="U28" s="11"/>
      <c r="V28" s="10"/>
      <c r="W28" s="10"/>
      <c r="X28" s="10"/>
      <c r="Y28" s="10"/>
      <c r="Z28" s="10"/>
      <c r="AA28" s="10"/>
      <c r="AB28" s="10"/>
      <c r="AC28" s="11"/>
      <c r="AD28" s="10"/>
      <c r="AE28" s="10"/>
      <c r="AF28" s="10"/>
      <c r="AG28" s="10"/>
      <c r="AH28" s="10"/>
      <c r="AI28" s="12"/>
      <c r="AJ28" s="10"/>
      <c r="AK28" s="12"/>
      <c r="AL28" s="10"/>
      <c r="AM28" s="10"/>
      <c r="AN28" s="10"/>
      <c r="AO28" s="21"/>
      <c r="AP28" s="21"/>
    </row>
    <row r="29" spans="1:42" x14ac:dyDescent="0.2">
      <c r="A29" s="33"/>
      <c r="B29" s="10"/>
      <c r="C29" s="10"/>
      <c r="D29" s="10"/>
      <c r="E29" s="10"/>
      <c r="F29" s="10"/>
      <c r="G29" s="10"/>
      <c r="H29" s="10"/>
      <c r="I29" s="10"/>
      <c r="J29" s="14"/>
      <c r="K29" s="10" t="s">
        <v>614</v>
      </c>
      <c r="L29" s="10" t="s">
        <v>661</v>
      </c>
      <c r="M29" s="10" t="s">
        <v>662</v>
      </c>
      <c r="N29" s="10" t="s">
        <v>663</v>
      </c>
      <c r="O29" s="10" t="s">
        <v>664</v>
      </c>
      <c r="P29" s="15" t="s">
        <v>665</v>
      </c>
      <c r="Q29" s="10"/>
      <c r="R29" s="10"/>
      <c r="S29" s="10"/>
      <c r="T29" s="10"/>
      <c r="U29" s="11"/>
      <c r="V29" s="10"/>
      <c r="W29" s="10"/>
      <c r="X29" s="10"/>
      <c r="Y29" s="10"/>
      <c r="Z29" s="10"/>
      <c r="AA29" s="10"/>
      <c r="AB29" s="10"/>
      <c r="AC29" s="16"/>
      <c r="AD29" s="10"/>
      <c r="AE29" s="10"/>
      <c r="AF29" s="10"/>
      <c r="AG29" s="10"/>
      <c r="AH29" s="10"/>
      <c r="AI29" s="12"/>
      <c r="AJ29" s="10"/>
      <c r="AK29" s="12"/>
      <c r="AL29" s="10"/>
      <c r="AM29" s="10"/>
      <c r="AN29" s="10"/>
      <c r="AO29" s="21"/>
      <c r="AP29" s="21"/>
    </row>
    <row r="30" spans="1:42" x14ac:dyDescent="0.2">
      <c r="A30" s="32"/>
      <c r="B30" s="10"/>
      <c r="C30" s="10"/>
      <c r="D30" s="10"/>
      <c r="E30" s="10"/>
      <c r="F30" s="10"/>
      <c r="G30" s="10"/>
      <c r="H30" s="10"/>
      <c r="I30" s="10"/>
      <c r="J30" s="14"/>
      <c r="K30" s="10" t="s">
        <v>614</v>
      </c>
      <c r="L30" s="10" t="s">
        <v>661</v>
      </c>
      <c r="M30" s="10" t="s">
        <v>666</v>
      </c>
      <c r="N30" s="10" t="s">
        <v>667</v>
      </c>
      <c r="O30" s="10" t="s">
        <v>668</v>
      </c>
      <c r="P30" s="15" t="s">
        <v>669</v>
      </c>
      <c r="Q30" s="10"/>
      <c r="R30" s="10"/>
      <c r="S30" s="10"/>
      <c r="T30" s="10"/>
      <c r="U30" s="11"/>
      <c r="V30" s="10"/>
      <c r="W30" s="10"/>
      <c r="X30" s="10"/>
      <c r="Y30" s="10"/>
      <c r="Z30" s="10"/>
      <c r="AA30" s="10"/>
      <c r="AB30" s="10"/>
      <c r="AC30" s="11"/>
      <c r="AD30" s="10"/>
      <c r="AE30" s="10"/>
      <c r="AF30" s="10"/>
      <c r="AG30" s="10"/>
      <c r="AH30" s="10"/>
      <c r="AI30" s="12"/>
      <c r="AJ30" s="10"/>
      <c r="AK30" s="12"/>
      <c r="AL30" s="10"/>
      <c r="AM30" s="10"/>
      <c r="AN30" s="10"/>
      <c r="AO30" s="21"/>
      <c r="AP30" s="21"/>
    </row>
    <row r="31" spans="1:42" x14ac:dyDescent="0.2">
      <c r="A31" s="33"/>
      <c r="B31" s="10"/>
      <c r="C31" s="10"/>
      <c r="D31" s="10"/>
      <c r="E31" s="10"/>
      <c r="F31" s="10"/>
      <c r="G31" s="10"/>
      <c r="H31" s="10"/>
      <c r="I31" s="10"/>
      <c r="J31" s="14"/>
      <c r="K31" s="10" t="s">
        <v>614</v>
      </c>
      <c r="L31" s="10" t="s">
        <v>661</v>
      </c>
      <c r="M31" s="10" t="s">
        <v>670</v>
      </c>
      <c r="N31" s="10" t="s">
        <v>671</v>
      </c>
      <c r="O31" s="10" t="s">
        <v>672</v>
      </c>
      <c r="P31" s="15" t="s">
        <v>673</v>
      </c>
      <c r="Q31" s="10"/>
      <c r="R31" s="10"/>
      <c r="S31" s="10"/>
      <c r="T31" s="10"/>
      <c r="U31" s="11"/>
      <c r="V31" s="10"/>
      <c r="W31" s="10"/>
      <c r="X31" s="10"/>
      <c r="Y31" s="10"/>
      <c r="Z31" s="10"/>
      <c r="AA31" s="10"/>
      <c r="AB31" s="10"/>
      <c r="AC31" s="16"/>
      <c r="AD31" s="10"/>
      <c r="AE31" s="10"/>
      <c r="AF31" s="10"/>
      <c r="AG31" s="10"/>
      <c r="AH31" s="10"/>
      <c r="AI31" s="12"/>
      <c r="AJ31" s="10"/>
      <c r="AK31" s="12"/>
      <c r="AL31" s="10"/>
      <c r="AM31" s="10"/>
      <c r="AN31" s="10"/>
      <c r="AO31" s="21"/>
      <c r="AP31" s="21"/>
    </row>
    <row r="32" spans="1:42" x14ac:dyDescent="0.2">
      <c r="A32" s="32"/>
      <c r="B32" s="10"/>
      <c r="C32" s="10"/>
      <c r="D32" s="10"/>
      <c r="E32" s="10"/>
      <c r="F32" s="10"/>
      <c r="G32" s="10"/>
      <c r="H32" s="10"/>
      <c r="I32" s="10"/>
      <c r="J32" s="14"/>
      <c r="K32" s="10" t="s">
        <v>614</v>
      </c>
      <c r="L32" s="10" t="s">
        <v>661</v>
      </c>
      <c r="M32" s="10" t="s">
        <v>674</v>
      </c>
      <c r="N32" s="10" t="s">
        <v>675</v>
      </c>
      <c r="O32" s="10" t="s">
        <v>676</v>
      </c>
      <c r="P32" s="15" t="s">
        <v>677</v>
      </c>
      <c r="Q32" s="10"/>
      <c r="R32" s="10"/>
      <c r="S32" s="10"/>
      <c r="T32" s="10"/>
      <c r="U32" s="11"/>
      <c r="V32" s="10"/>
      <c r="W32" s="10"/>
      <c r="X32" s="10"/>
      <c r="Y32" s="10"/>
      <c r="Z32" s="10"/>
      <c r="AA32" s="10"/>
      <c r="AB32" s="10"/>
      <c r="AC32" s="11"/>
      <c r="AD32" s="10"/>
      <c r="AE32" s="10"/>
      <c r="AF32" s="10"/>
      <c r="AG32" s="10"/>
      <c r="AH32" s="10"/>
      <c r="AI32" s="12"/>
      <c r="AJ32" s="10"/>
      <c r="AK32" s="12"/>
      <c r="AL32" s="10"/>
      <c r="AM32" s="10"/>
      <c r="AN32" s="10"/>
      <c r="AO32" s="21"/>
      <c r="AP32" s="21"/>
    </row>
    <row r="33" spans="1:42" x14ac:dyDescent="0.2">
      <c r="A33" s="36"/>
      <c r="B33" s="18"/>
      <c r="C33" s="18"/>
      <c r="D33" s="18"/>
      <c r="E33" s="18"/>
      <c r="F33" s="18"/>
      <c r="G33" s="18" t="s">
        <v>187</v>
      </c>
      <c r="H33" s="18" t="s">
        <v>188</v>
      </c>
      <c r="I33" s="18" t="s">
        <v>190</v>
      </c>
      <c r="J33" s="19" t="s">
        <v>150</v>
      </c>
      <c r="K33" s="18" t="s">
        <v>678</v>
      </c>
      <c r="L33" s="18"/>
      <c r="M33" s="18"/>
      <c r="N33" s="18"/>
      <c r="O33" s="18"/>
      <c r="P33" s="20"/>
      <c r="Q33" s="10"/>
      <c r="R33" s="10"/>
      <c r="S33" s="10"/>
      <c r="T33" s="10"/>
      <c r="U33" s="11"/>
      <c r="V33" s="10"/>
      <c r="W33" s="10"/>
      <c r="X33" s="10"/>
      <c r="Y33" s="10"/>
      <c r="Z33" s="10"/>
      <c r="AA33" s="10"/>
      <c r="AB33" s="10"/>
      <c r="AC33" s="16"/>
      <c r="AD33" s="10"/>
      <c r="AE33" s="10"/>
      <c r="AF33" s="10"/>
      <c r="AG33" s="10"/>
      <c r="AH33" s="10"/>
      <c r="AI33" s="12"/>
      <c r="AJ33" s="10"/>
      <c r="AK33" s="12"/>
      <c r="AL33" s="10"/>
      <c r="AM33" s="10"/>
      <c r="AN33" s="10"/>
      <c r="AO33" s="21"/>
      <c r="AP33" s="21"/>
    </row>
    <row r="34" spans="1:42" x14ac:dyDescent="0.2">
      <c r="A34" s="31" t="s">
        <v>89</v>
      </c>
      <c r="B34" s="29" t="s">
        <v>196</v>
      </c>
      <c r="C34" s="27" t="s">
        <v>92</v>
      </c>
      <c r="D34" s="27" t="s">
        <v>93</v>
      </c>
      <c r="E34" s="30" t="s">
        <v>146</v>
      </c>
      <c r="F34" s="8"/>
      <c r="G34" s="7" t="s">
        <v>200</v>
      </c>
      <c r="H34" s="7" t="s">
        <v>201</v>
      </c>
      <c r="I34" s="7" t="s">
        <v>202</v>
      </c>
      <c r="J34" s="8" t="s">
        <v>204</v>
      </c>
      <c r="K34" s="7" t="s">
        <v>613</v>
      </c>
      <c r="L34" s="7"/>
      <c r="M34" s="7"/>
      <c r="N34" s="7"/>
      <c r="O34" s="7"/>
      <c r="P34" s="9"/>
      <c r="Q34" s="10"/>
      <c r="R34" s="10" t="s">
        <v>95</v>
      </c>
      <c r="S34" s="10">
        <v>2001</v>
      </c>
      <c r="T34" s="10">
        <v>25</v>
      </c>
      <c r="U34" s="11"/>
      <c r="V34" s="10" t="s">
        <v>97</v>
      </c>
      <c r="W34" s="10" t="s">
        <v>46</v>
      </c>
      <c r="X34" s="10" t="s">
        <v>47</v>
      </c>
      <c r="Y34" s="10" t="s">
        <v>98</v>
      </c>
      <c r="Z34" s="10" t="s">
        <v>99</v>
      </c>
      <c r="AA34" s="10" t="s">
        <v>100</v>
      </c>
      <c r="AB34" s="10"/>
      <c r="AC34" s="11"/>
      <c r="AD34" s="10" t="s">
        <v>52</v>
      </c>
      <c r="AE34" s="10"/>
      <c r="AF34" s="10" t="s">
        <v>102</v>
      </c>
      <c r="AG34" s="10" t="s">
        <v>103</v>
      </c>
      <c r="AH34" s="10" t="s">
        <v>55</v>
      </c>
      <c r="AI34" s="12">
        <v>80000</v>
      </c>
      <c r="AJ34" s="12" t="str">
        <f>AH34</f>
        <v>USD</v>
      </c>
      <c r="AK34" s="12"/>
      <c r="AL34" s="10" t="s">
        <v>94</v>
      </c>
      <c r="AM34" s="10" t="s">
        <v>104</v>
      </c>
      <c r="AN34" s="10" t="s">
        <v>105</v>
      </c>
      <c r="AO34" s="10"/>
      <c r="AP34" s="10"/>
    </row>
    <row r="35" spans="1:42" x14ac:dyDescent="0.2">
      <c r="A35" s="33"/>
      <c r="B35" s="24"/>
      <c r="C35" s="24"/>
      <c r="D35" s="24"/>
      <c r="E35" s="24"/>
      <c r="F35" s="14"/>
      <c r="G35" s="10"/>
      <c r="H35" s="10"/>
      <c r="I35" s="10" t="s">
        <v>209</v>
      </c>
      <c r="J35" s="14" t="s">
        <v>204</v>
      </c>
      <c r="K35" s="10" t="s">
        <v>614</v>
      </c>
      <c r="L35" s="10" t="s">
        <v>615</v>
      </c>
      <c r="M35" s="10" t="s">
        <v>616</v>
      </c>
      <c r="N35" s="10" t="s">
        <v>617</v>
      </c>
      <c r="O35" s="10" t="s">
        <v>618</v>
      </c>
      <c r="P35" s="15" t="s">
        <v>619</v>
      </c>
      <c r="Q35" s="10"/>
      <c r="R35" s="10"/>
      <c r="S35" s="10"/>
      <c r="T35" s="10"/>
      <c r="U35" s="11"/>
      <c r="V35" s="10"/>
      <c r="W35" s="10"/>
      <c r="X35" s="10"/>
      <c r="Y35" s="10"/>
      <c r="Z35" s="10"/>
      <c r="AA35" s="10"/>
      <c r="AB35" s="10"/>
      <c r="AC35" s="16"/>
      <c r="AD35" s="10"/>
      <c r="AE35" s="10"/>
      <c r="AF35" s="10"/>
      <c r="AG35" s="10"/>
      <c r="AH35" s="10"/>
      <c r="AI35" s="12"/>
      <c r="AJ35" s="12"/>
      <c r="AK35" s="12"/>
      <c r="AL35" s="10"/>
      <c r="AM35" s="10"/>
      <c r="AN35" s="10"/>
      <c r="AO35" s="10"/>
      <c r="AP35" s="10"/>
    </row>
    <row r="36" spans="1:42" x14ac:dyDescent="0.2">
      <c r="A36" s="32"/>
      <c r="B36" s="24"/>
      <c r="C36" s="24"/>
      <c r="D36" s="24"/>
      <c r="E36" s="24"/>
      <c r="F36" s="10"/>
      <c r="G36" s="10" t="s">
        <v>214</v>
      </c>
      <c r="H36" s="10" t="s">
        <v>215</v>
      </c>
      <c r="I36" s="10" t="s">
        <v>216</v>
      </c>
      <c r="J36" s="14" t="s">
        <v>217</v>
      </c>
      <c r="K36" s="10" t="s">
        <v>614</v>
      </c>
      <c r="L36" s="10" t="s">
        <v>615</v>
      </c>
      <c r="M36" s="10" t="s">
        <v>620</v>
      </c>
      <c r="N36" s="10" t="s">
        <v>621</v>
      </c>
      <c r="O36" s="10" t="s">
        <v>622</v>
      </c>
      <c r="P36" s="15" t="s">
        <v>623</v>
      </c>
      <c r="Q36" s="10"/>
      <c r="R36" s="10"/>
      <c r="S36" s="10"/>
      <c r="T36" s="10"/>
      <c r="U36" s="11"/>
      <c r="V36" s="10"/>
      <c r="W36" s="10"/>
      <c r="X36" s="10"/>
      <c r="Y36" s="10"/>
      <c r="Z36" s="10"/>
      <c r="AA36" s="10"/>
      <c r="AB36" s="10"/>
      <c r="AC36" s="11"/>
      <c r="AD36" s="10"/>
      <c r="AE36" s="10"/>
      <c r="AF36" s="10"/>
      <c r="AG36" s="10"/>
      <c r="AH36" s="10"/>
      <c r="AI36" s="12"/>
      <c r="AJ36" s="12">
        <f>AH36</f>
        <v>0</v>
      </c>
      <c r="AK36" s="12"/>
      <c r="AL36" s="10"/>
      <c r="AM36" s="10"/>
      <c r="AN36" s="10"/>
      <c r="AO36" s="10"/>
      <c r="AP36" s="10"/>
    </row>
    <row r="37" spans="1:42" x14ac:dyDescent="0.2">
      <c r="A37" s="33"/>
      <c r="B37" s="24"/>
      <c r="C37" s="24"/>
      <c r="D37" s="24"/>
      <c r="E37" s="24"/>
      <c r="F37" s="10"/>
      <c r="G37" s="10"/>
      <c r="H37" s="10"/>
      <c r="I37" s="10" t="s">
        <v>223</v>
      </c>
      <c r="J37" s="14" t="s">
        <v>150</v>
      </c>
      <c r="K37" s="10" t="s">
        <v>614</v>
      </c>
      <c r="L37" s="10" t="s">
        <v>615</v>
      </c>
      <c r="M37" s="10" t="s">
        <v>624</v>
      </c>
      <c r="N37" s="10" t="s">
        <v>625</v>
      </c>
      <c r="O37" s="10" t="s">
        <v>626</v>
      </c>
      <c r="P37" s="15" t="s">
        <v>627</v>
      </c>
      <c r="Q37" s="10"/>
      <c r="R37" s="10"/>
      <c r="S37" s="10"/>
      <c r="T37" s="10"/>
      <c r="U37" s="11"/>
      <c r="V37" s="10"/>
      <c r="W37" s="10"/>
      <c r="X37" s="10"/>
      <c r="Y37" s="10"/>
      <c r="Z37" s="10"/>
      <c r="AA37" s="10"/>
      <c r="AB37" s="10"/>
      <c r="AC37" s="16"/>
      <c r="AD37" s="10"/>
      <c r="AE37" s="10"/>
      <c r="AF37" s="10"/>
      <c r="AG37" s="10"/>
      <c r="AH37" s="10"/>
      <c r="AI37" s="12"/>
      <c r="AJ37" s="12"/>
      <c r="AK37" s="12"/>
      <c r="AL37" s="10"/>
      <c r="AM37" s="10"/>
      <c r="AN37" s="10"/>
      <c r="AO37" s="10"/>
      <c r="AP37" s="10"/>
    </row>
    <row r="38" spans="1:42" x14ac:dyDescent="0.2">
      <c r="A38" s="32"/>
      <c r="B38" s="24"/>
      <c r="C38" s="24"/>
      <c r="D38" s="24"/>
      <c r="E38" s="24"/>
      <c r="F38" s="10"/>
      <c r="G38" s="10" t="s">
        <v>225</v>
      </c>
      <c r="H38" s="10" t="s">
        <v>227</v>
      </c>
      <c r="I38" s="10" t="s">
        <v>228</v>
      </c>
      <c r="J38" s="14" t="s">
        <v>150</v>
      </c>
      <c r="K38" s="10" t="s">
        <v>614</v>
      </c>
      <c r="L38" s="10" t="s">
        <v>615</v>
      </c>
      <c r="M38" s="10" t="s">
        <v>628</v>
      </c>
      <c r="N38" s="10" t="s">
        <v>629</v>
      </c>
      <c r="O38" s="10" t="s">
        <v>630</v>
      </c>
      <c r="P38" s="15" t="s">
        <v>631</v>
      </c>
      <c r="Q38" s="10"/>
      <c r="R38" s="10"/>
      <c r="S38" s="10"/>
      <c r="T38" s="10"/>
      <c r="U38" s="11"/>
      <c r="V38" s="10"/>
      <c r="W38" s="10"/>
      <c r="X38" s="10"/>
      <c r="Y38" s="10"/>
      <c r="Z38" s="10"/>
      <c r="AA38" s="10"/>
      <c r="AB38" s="10"/>
      <c r="AC38" s="11"/>
      <c r="AD38" s="10"/>
      <c r="AE38" s="10"/>
      <c r="AF38" s="10"/>
      <c r="AG38" s="10"/>
      <c r="AH38" s="10"/>
      <c r="AI38" s="12"/>
      <c r="AJ38" s="12">
        <f>AH38</f>
        <v>0</v>
      </c>
      <c r="AK38" s="12"/>
      <c r="AL38" s="10"/>
      <c r="AM38" s="10"/>
      <c r="AN38" s="10"/>
      <c r="AO38" s="10"/>
      <c r="AP38" s="10"/>
    </row>
    <row r="39" spans="1:42" x14ac:dyDescent="0.2">
      <c r="A39" s="33"/>
      <c r="B39" s="24"/>
      <c r="C39" s="24"/>
      <c r="D39" s="24"/>
      <c r="E39" s="24"/>
      <c r="F39" s="10"/>
      <c r="G39" s="10"/>
      <c r="H39" s="10"/>
      <c r="I39" s="10" t="s">
        <v>233</v>
      </c>
      <c r="J39" s="14" t="s">
        <v>150</v>
      </c>
      <c r="K39" s="10" t="s">
        <v>614</v>
      </c>
      <c r="L39" s="10" t="s">
        <v>615</v>
      </c>
      <c r="M39" s="10" t="s">
        <v>632</v>
      </c>
      <c r="N39" s="10" t="s">
        <v>633</v>
      </c>
      <c r="O39" s="10" t="s">
        <v>634</v>
      </c>
      <c r="P39" s="15" t="s">
        <v>635</v>
      </c>
      <c r="Q39" s="10"/>
      <c r="R39" s="10"/>
      <c r="S39" s="10"/>
      <c r="T39" s="10"/>
      <c r="U39" s="11"/>
      <c r="V39" s="10"/>
      <c r="W39" s="10"/>
      <c r="X39" s="10"/>
      <c r="Y39" s="10"/>
      <c r="Z39" s="10"/>
      <c r="AA39" s="10"/>
      <c r="AB39" s="10"/>
      <c r="AC39" s="16"/>
      <c r="AD39" s="10"/>
      <c r="AE39" s="10"/>
      <c r="AF39" s="10"/>
      <c r="AG39" s="10"/>
      <c r="AH39" s="10"/>
      <c r="AI39" s="12"/>
      <c r="AJ39" s="12"/>
      <c r="AK39" s="12"/>
      <c r="AL39" s="10"/>
      <c r="AM39" s="10"/>
      <c r="AN39" s="10"/>
      <c r="AO39" s="10"/>
      <c r="AP39" s="10"/>
    </row>
    <row r="40" spans="1:42" x14ac:dyDescent="0.2">
      <c r="A40" s="32"/>
      <c r="B40" s="13"/>
      <c r="C40" s="10"/>
      <c r="D40" s="10"/>
      <c r="E40" s="14"/>
      <c r="F40" s="10"/>
      <c r="G40" s="10"/>
      <c r="H40" s="10"/>
      <c r="I40" s="10"/>
      <c r="J40" s="14"/>
      <c r="K40" s="10" t="s">
        <v>614</v>
      </c>
      <c r="L40" s="10" t="s">
        <v>615</v>
      </c>
      <c r="M40" s="10" t="s">
        <v>636</v>
      </c>
      <c r="N40" s="10" t="s">
        <v>637</v>
      </c>
      <c r="O40" s="10" t="s">
        <v>638</v>
      </c>
      <c r="P40" s="15" t="s">
        <v>639</v>
      </c>
      <c r="Q40" s="10"/>
      <c r="R40" s="10"/>
      <c r="S40" s="10"/>
      <c r="T40" s="10"/>
      <c r="U40" s="11"/>
      <c r="V40" s="10"/>
      <c r="W40" s="10"/>
      <c r="X40" s="10"/>
      <c r="Y40" s="10"/>
      <c r="Z40" s="10"/>
      <c r="AA40" s="10"/>
      <c r="AB40" s="10"/>
      <c r="AC40" s="11"/>
      <c r="AD40" s="10"/>
      <c r="AE40" s="10"/>
      <c r="AF40" s="10"/>
      <c r="AG40" s="10"/>
      <c r="AH40" s="10"/>
      <c r="AI40" s="12"/>
      <c r="AJ40" s="12"/>
      <c r="AK40" s="12"/>
      <c r="AL40" s="10"/>
      <c r="AM40" s="10"/>
      <c r="AN40" s="10"/>
      <c r="AO40" s="10"/>
      <c r="AP40" s="10"/>
    </row>
    <row r="41" spans="1:42" x14ac:dyDescent="0.2">
      <c r="A41" s="33"/>
      <c r="B41" s="13"/>
      <c r="C41" s="10"/>
      <c r="D41" s="10"/>
      <c r="E41" s="14"/>
      <c r="F41" s="10"/>
      <c r="G41" s="10"/>
      <c r="H41" s="10"/>
      <c r="I41" s="10"/>
      <c r="J41" s="14"/>
      <c r="K41" s="10" t="s">
        <v>614</v>
      </c>
      <c r="L41" s="10" t="s">
        <v>640</v>
      </c>
      <c r="M41" s="10" t="s">
        <v>641</v>
      </c>
      <c r="N41" s="10" t="s">
        <v>642</v>
      </c>
      <c r="O41" s="10" t="s">
        <v>643</v>
      </c>
      <c r="P41" s="15" t="s">
        <v>644</v>
      </c>
      <c r="Q41" s="10"/>
      <c r="R41" s="10"/>
      <c r="S41" s="10"/>
      <c r="T41" s="10"/>
      <c r="U41" s="11"/>
      <c r="V41" s="10"/>
      <c r="W41" s="10"/>
      <c r="X41" s="10"/>
      <c r="Y41" s="10"/>
      <c r="Z41" s="10"/>
      <c r="AA41" s="10"/>
      <c r="AB41" s="10"/>
      <c r="AC41" s="16"/>
      <c r="AD41" s="10"/>
      <c r="AE41" s="10"/>
      <c r="AF41" s="10"/>
      <c r="AG41" s="10"/>
      <c r="AH41" s="10"/>
      <c r="AI41" s="12"/>
      <c r="AJ41" s="12"/>
      <c r="AK41" s="12"/>
      <c r="AL41" s="10"/>
      <c r="AM41" s="10"/>
      <c r="AN41" s="10"/>
      <c r="AO41" s="10"/>
      <c r="AP41" s="10"/>
    </row>
    <row r="42" spans="1:42" x14ac:dyDescent="0.2">
      <c r="A42" s="32"/>
      <c r="B42" s="13"/>
      <c r="C42" s="10"/>
      <c r="D42" s="10"/>
      <c r="E42" s="14"/>
      <c r="F42" s="10"/>
      <c r="G42" s="10"/>
      <c r="H42" s="10"/>
      <c r="I42" s="10"/>
      <c r="J42" s="14"/>
      <c r="K42" s="10" t="s">
        <v>614</v>
      </c>
      <c r="L42" s="10" t="s">
        <v>640</v>
      </c>
      <c r="M42" s="10" t="s">
        <v>645</v>
      </c>
      <c r="N42" s="10" t="s">
        <v>646</v>
      </c>
      <c r="O42" s="10" t="s">
        <v>647</v>
      </c>
      <c r="P42" s="15" t="s">
        <v>648</v>
      </c>
      <c r="Q42" s="10"/>
      <c r="R42" s="10"/>
      <c r="S42" s="10"/>
      <c r="T42" s="10"/>
      <c r="U42" s="11"/>
      <c r="V42" s="10"/>
      <c r="W42" s="10"/>
      <c r="X42" s="10"/>
      <c r="Y42" s="10"/>
      <c r="Z42" s="10"/>
      <c r="AA42" s="10"/>
      <c r="AB42" s="10"/>
      <c r="AC42" s="11"/>
      <c r="AD42" s="10"/>
      <c r="AE42" s="10"/>
      <c r="AF42" s="10"/>
      <c r="AG42" s="10"/>
      <c r="AH42" s="10"/>
      <c r="AI42" s="12"/>
      <c r="AJ42" s="12"/>
      <c r="AK42" s="12"/>
      <c r="AL42" s="10"/>
      <c r="AM42" s="10"/>
      <c r="AN42" s="10"/>
      <c r="AO42" s="10"/>
      <c r="AP42" s="10"/>
    </row>
    <row r="43" spans="1:42" x14ac:dyDescent="0.2">
      <c r="A43" s="33"/>
      <c r="B43" s="13"/>
      <c r="C43" s="10"/>
      <c r="D43" s="10"/>
      <c r="E43" s="14"/>
      <c r="F43" s="10"/>
      <c r="G43" s="10"/>
      <c r="H43" s="10"/>
      <c r="I43" s="10"/>
      <c r="J43" s="14"/>
      <c r="K43" s="10" t="s">
        <v>614</v>
      </c>
      <c r="L43" s="10" t="s">
        <v>640</v>
      </c>
      <c r="M43" s="10" t="s">
        <v>649</v>
      </c>
      <c r="N43" s="10" t="s">
        <v>650</v>
      </c>
      <c r="O43" s="10" t="s">
        <v>651</v>
      </c>
      <c r="P43" s="15" t="s">
        <v>652</v>
      </c>
      <c r="Q43" s="10"/>
      <c r="R43" s="10"/>
      <c r="S43" s="10"/>
      <c r="T43" s="10"/>
      <c r="U43" s="11"/>
      <c r="V43" s="10"/>
      <c r="W43" s="10"/>
      <c r="X43" s="10"/>
      <c r="Y43" s="10"/>
      <c r="Z43" s="10"/>
      <c r="AA43" s="10"/>
      <c r="AB43" s="10"/>
      <c r="AC43" s="16"/>
      <c r="AD43" s="10"/>
      <c r="AE43" s="10"/>
      <c r="AF43" s="10"/>
      <c r="AG43" s="10"/>
      <c r="AH43" s="10"/>
      <c r="AI43" s="12"/>
      <c r="AJ43" s="12"/>
      <c r="AK43" s="12"/>
      <c r="AL43" s="10"/>
      <c r="AM43" s="10"/>
      <c r="AN43" s="10"/>
      <c r="AO43" s="10"/>
      <c r="AP43" s="10"/>
    </row>
    <row r="44" spans="1:42" x14ac:dyDescent="0.2">
      <c r="A44" s="32"/>
      <c r="B44" s="13"/>
      <c r="C44" s="10"/>
      <c r="D44" s="10"/>
      <c r="E44" s="14"/>
      <c r="F44" s="10"/>
      <c r="G44" s="10"/>
      <c r="H44" s="10"/>
      <c r="I44" s="10"/>
      <c r="J44" s="14"/>
      <c r="K44" s="10" t="s">
        <v>614</v>
      </c>
      <c r="L44" s="10" t="s">
        <v>640</v>
      </c>
      <c r="M44" s="10" t="s">
        <v>653</v>
      </c>
      <c r="N44" s="10" t="s">
        <v>654</v>
      </c>
      <c r="O44" s="10" t="s">
        <v>655</v>
      </c>
      <c r="P44" s="15" t="s">
        <v>656</v>
      </c>
      <c r="Q44" s="10"/>
      <c r="R44" s="10"/>
      <c r="S44" s="10"/>
      <c r="T44" s="10"/>
      <c r="U44" s="11"/>
      <c r="V44" s="10"/>
      <c r="W44" s="10"/>
      <c r="X44" s="10"/>
      <c r="Y44" s="10"/>
      <c r="Z44" s="10"/>
      <c r="AA44" s="10"/>
      <c r="AB44" s="10"/>
      <c r="AC44" s="11"/>
      <c r="AD44" s="10"/>
      <c r="AE44" s="10"/>
      <c r="AF44" s="10"/>
      <c r="AG44" s="10"/>
      <c r="AH44" s="10"/>
      <c r="AI44" s="12"/>
      <c r="AJ44" s="12"/>
      <c r="AK44" s="12"/>
      <c r="AL44" s="10"/>
      <c r="AM44" s="10"/>
      <c r="AN44" s="10"/>
      <c r="AO44" s="10"/>
      <c r="AP44" s="10"/>
    </row>
    <row r="45" spans="1:42" x14ac:dyDescent="0.2">
      <c r="A45" s="33"/>
      <c r="B45" s="13"/>
      <c r="C45" s="10"/>
      <c r="D45" s="10"/>
      <c r="E45" s="14"/>
      <c r="F45" s="10"/>
      <c r="G45" s="10"/>
      <c r="H45" s="10"/>
      <c r="I45" s="10"/>
      <c r="J45" s="14"/>
      <c r="K45" s="10" t="s">
        <v>614</v>
      </c>
      <c r="L45" s="10" t="s">
        <v>640</v>
      </c>
      <c r="M45" s="10" t="s">
        <v>657</v>
      </c>
      <c r="N45" s="10" t="s">
        <v>658</v>
      </c>
      <c r="O45" s="10" t="s">
        <v>659</v>
      </c>
      <c r="P45" s="15" t="s">
        <v>660</v>
      </c>
      <c r="Q45" s="10"/>
      <c r="R45" s="10"/>
      <c r="S45" s="10"/>
      <c r="T45" s="10"/>
      <c r="U45" s="11"/>
      <c r="V45" s="10"/>
      <c r="W45" s="10"/>
      <c r="X45" s="10"/>
      <c r="Y45" s="10"/>
      <c r="Z45" s="10"/>
      <c r="AA45" s="10"/>
      <c r="AB45" s="10"/>
      <c r="AC45" s="16"/>
      <c r="AD45" s="10"/>
      <c r="AE45" s="10"/>
      <c r="AF45" s="10"/>
      <c r="AG45" s="10"/>
      <c r="AH45" s="10"/>
      <c r="AI45" s="12"/>
      <c r="AJ45" s="12"/>
      <c r="AK45" s="12"/>
      <c r="AL45" s="10"/>
      <c r="AM45" s="10"/>
      <c r="AN45" s="10"/>
      <c r="AO45" s="10"/>
      <c r="AP45" s="10"/>
    </row>
    <row r="46" spans="1:42" x14ac:dyDescent="0.2">
      <c r="A46" s="32"/>
      <c r="B46" s="13"/>
      <c r="C46" s="10"/>
      <c r="D46" s="10"/>
      <c r="E46" s="14"/>
      <c r="F46" s="10"/>
      <c r="G46" s="10"/>
      <c r="H46" s="10"/>
      <c r="I46" s="10"/>
      <c r="J46" s="14"/>
      <c r="K46" s="10" t="s">
        <v>614</v>
      </c>
      <c r="L46" s="10" t="s">
        <v>661</v>
      </c>
      <c r="M46" s="10" t="s">
        <v>662</v>
      </c>
      <c r="N46" s="10" t="s">
        <v>663</v>
      </c>
      <c r="O46" s="10" t="s">
        <v>664</v>
      </c>
      <c r="P46" s="15" t="s">
        <v>665</v>
      </c>
      <c r="Q46" s="10"/>
      <c r="R46" s="10"/>
      <c r="S46" s="10"/>
      <c r="T46" s="10"/>
      <c r="U46" s="11"/>
      <c r="V46" s="10"/>
      <c r="W46" s="10"/>
      <c r="X46" s="10"/>
      <c r="Y46" s="10"/>
      <c r="Z46" s="10"/>
      <c r="AA46" s="10"/>
      <c r="AB46" s="10"/>
      <c r="AC46" s="11"/>
      <c r="AD46" s="10"/>
      <c r="AE46" s="10"/>
      <c r="AF46" s="10"/>
      <c r="AG46" s="10"/>
      <c r="AH46" s="10"/>
      <c r="AI46" s="12"/>
      <c r="AJ46" s="12"/>
      <c r="AK46" s="12"/>
      <c r="AL46" s="10"/>
      <c r="AM46" s="10"/>
      <c r="AN46" s="10"/>
      <c r="AO46" s="10"/>
      <c r="AP46" s="10"/>
    </row>
    <row r="47" spans="1:42" x14ac:dyDescent="0.2">
      <c r="A47" s="33"/>
      <c r="B47" s="13"/>
      <c r="C47" s="10"/>
      <c r="D47" s="10"/>
      <c r="E47" s="14"/>
      <c r="F47" s="10"/>
      <c r="G47" s="10"/>
      <c r="H47" s="10"/>
      <c r="I47" s="10"/>
      <c r="J47" s="14"/>
      <c r="K47" s="10" t="s">
        <v>614</v>
      </c>
      <c r="L47" s="10" t="s">
        <v>661</v>
      </c>
      <c r="M47" s="10" t="s">
        <v>666</v>
      </c>
      <c r="N47" s="10" t="s">
        <v>667</v>
      </c>
      <c r="O47" s="10" t="s">
        <v>668</v>
      </c>
      <c r="P47" s="15" t="s">
        <v>669</v>
      </c>
      <c r="Q47" s="10"/>
      <c r="R47" s="10"/>
      <c r="S47" s="10"/>
      <c r="T47" s="10"/>
      <c r="U47" s="11"/>
      <c r="V47" s="10"/>
      <c r="W47" s="10"/>
      <c r="X47" s="10"/>
      <c r="Y47" s="10"/>
      <c r="Z47" s="10"/>
      <c r="AA47" s="10"/>
      <c r="AB47" s="10"/>
      <c r="AC47" s="16"/>
      <c r="AD47" s="10"/>
      <c r="AE47" s="10"/>
      <c r="AF47" s="10"/>
      <c r="AG47" s="10"/>
      <c r="AH47" s="10"/>
      <c r="AI47" s="12"/>
      <c r="AJ47" s="12"/>
      <c r="AK47" s="12"/>
      <c r="AL47" s="10"/>
      <c r="AM47" s="10"/>
      <c r="AN47" s="10"/>
      <c r="AO47" s="10"/>
      <c r="AP47" s="10"/>
    </row>
    <row r="48" spans="1:42" x14ac:dyDescent="0.2">
      <c r="A48" s="32"/>
      <c r="B48" s="13"/>
      <c r="C48" s="10"/>
      <c r="D48" s="10"/>
      <c r="E48" s="14"/>
      <c r="F48" s="10"/>
      <c r="G48" s="10"/>
      <c r="H48" s="10"/>
      <c r="I48" s="10"/>
      <c r="J48" s="14"/>
      <c r="K48" s="10" t="s">
        <v>614</v>
      </c>
      <c r="L48" s="10" t="s">
        <v>661</v>
      </c>
      <c r="M48" s="10" t="s">
        <v>670</v>
      </c>
      <c r="N48" s="10" t="s">
        <v>671</v>
      </c>
      <c r="O48" s="10" t="s">
        <v>672</v>
      </c>
      <c r="P48" s="15" t="s">
        <v>673</v>
      </c>
      <c r="Q48" s="10"/>
      <c r="R48" s="10"/>
      <c r="S48" s="10"/>
      <c r="T48" s="10"/>
      <c r="U48" s="11"/>
      <c r="V48" s="10"/>
      <c r="W48" s="10"/>
      <c r="X48" s="10"/>
      <c r="Y48" s="10"/>
      <c r="Z48" s="10"/>
      <c r="AA48" s="10"/>
      <c r="AB48" s="10"/>
      <c r="AC48" s="11"/>
      <c r="AD48" s="10"/>
      <c r="AE48" s="10"/>
      <c r="AF48" s="10"/>
      <c r="AG48" s="10"/>
      <c r="AH48" s="10"/>
      <c r="AI48" s="12"/>
      <c r="AJ48" s="12"/>
      <c r="AK48" s="12"/>
      <c r="AL48" s="10"/>
      <c r="AM48" s="10"/>
      <c r="AN48" s="10"/>
      <c r="AO48" s="10"/>
      <c r="AP48" s="10"/>
    </row>
    <row r="49" spans="1:42" x14ac:dyDescent="0.2">
      <c r="A49" s="33"/>
      <c r="B49" s="13"/>
      <c r="C49" s="10"/>
      <c r="D49" s="10"/>
      <c r="E49" s="14"/>
      <c r="F49" s="10"/>
      <c r="G49" s="10"/>
      <c r="H49" s="10"/>
      <c r="I49" s="10"/>
      <c r="J49" s="14"/>
      <c r="K49" s="10" t="s">
        <v>614</v>
      </c>
      <c r="L49" s="10" t="s">
        <v>661</v>
      </c>
      <c r="M49" s="10" t="s">
        <v>674</v>
      </c>
      <c r="N49" s="10" t="s">
        <v>675</v>
      </c>
      <c r="O49" s="10" t="s">
        <v>676</v>
      </c>
      <c r="P49" s="15" t="s">
        <v>677</v>
      </c>
      <c r="Q49" s="10"/>
      <c r="R49" s="10"/>
      <c r="S49" s="10"/>
      <c r="T49" s="10"/>
      <c r="U49" s="11"/>
      <c r="V49" s="10"/>
      <c r="W49" s="10"/>
      <c r="X49" s="10"/>
      <c r="Y49" s="10"/>
      <c r="Z49" s="10"/>
      <c r="AA49" s="10"/>
      <c r="AB49" s="10"/>
      <c r="AC49" s="16"/>
      <c r="AD49" s="10"/>
      <c r="AE49" s="10"/>
      <c r="AF49" s="10"/>
      <c r="AG49" s="10"/>
      <c r="AH49" s="10"/>
      <c r="AI49" s="12"/>
      <c r="AJ49" s="12"/>
      <c r="AK49" s="12"/>
      <c r="AL49" s="10"/>
      <c r="AM49" s="10"/>
      <c r="AN49" s="10"/>
      <c r="AO49" s="10"/>
      <c r="AP49" s="10"/>
    </row>
    <row r="50" spans="1:42" x14ac:dyDescent="0.2">
      <c r="A50" s="34"/>
      <c r="B50" s="17"/>
      <c r="C50" s="18"/>
      <c r="D50" s="18"/>
      <c r="E50" s="19"/>
      <c r="F50" s="18"/>
      <c r="G50" s="18"/>
      <c r="H50" s="18"/>
      <c r="I50" s="18"/>
      <c r="J50" s="19"/>
      <c r="K50" s="18" t="s">
        <v>678</v>
      </c>
      <c r="L50" s="10" t="s">
        <v>679</v>
      </c>
      <c r="M50" s="18"/>
      <c r="N50" s="18"/>
      <c r="O50" s="18"/>
      <c r="P50" s="20"/>
      <c r="Q50" s="10"/>
      <c r="R50" s="10"/>
      <c r="S50" s="10"/>
      <c r="T50" s="10"/>
      <c r="U50" s="11"/>
      <c r="V50" s="10"/>
      <c r="W50" s="10"/>
      <c r="X50" s="10"/>
      <c r="Y50" s="10"/>
      <c r="Z50" s="10"/>
      <c r="AA50" s="10"/>
      <c r="AB50" s="10"/>
      <c r="AC50" s="11"/>
      <c r="AD50" s="10"/>
      <c r="AE50" s="10"/>
      <c r="AF50" s="10"/>
      <c r="AG50" s="10"/>
      <c r="AH50" s="10"/>
      <c r="AI50" s="12"/>
      <c r="AJ50" s="12"/>
      <c r="AK50" s="12"/>
      <c r="AL50" s="10"/>
      <c r="AM50" s="10"/>
      <c r="AN50" s="10"/>
      <c r="AO50" s="10"/>
      <c r="AP50" s="10"/>
    </row>
    <row r="51" spans="1:42" x14ac:dyDescent="0.2">
      <c r="A51" s="31" t="s">
        <v>221</v>
      </c>
      <c r="B51" s="27" t="s">
        <v>237</v>
      </c>
      <c r="C51" s="27" t="s">
        <v>222</v>
      </c>
      <c r="D51" s="27" t="s">
        <v>224</v>
      </c>
      <c r="E51" s="30" t="s">
        <v>239</v>
      </c>
      <c r="F51" s="7"/>
      <c r="G51" s="7" t="s">
        <v>241</v>
      </c>
      <c r="H51" s="7" t="s">
        <v>242</v>
      </c>
      <c r="I51" s="7" t="s">
        <v>243</v>
      </c>
      <c r="J51" s="8" t="s">
        <v>244</v>
      </c>
      <c r="K51" s="7" t="s">
        <v>680</v>
      </c>
      <c r="L51" s="7" t="s">
        <v>681</v>
      </c>
      <c r="M51" s="7" t="s">
        <v>682</v>
      </c>
      <c r="N51" s="7" t="s">
        <v>683</v>
      </c>
      <c r="O51" s="7" t="s">
        <v>684</v>
      </c>
      <c r="P51" s="9" t="s">
        <v>685</v>
      </c>
      <c r="Q51" s="10"/>
      <c r="R51" s="10" t="s">
        <v>141</v>
      </c>
      <c r="S51" s="10">
        <v>2017</v>
      </c>
      <c r="T51" s="10">
        <f t="shared" ref="T51:T52" si="4">2026-S51</f>
        <v>9</v>
      </c>
      <c r="U51" s="11"/>
      <c r="V51" s="10" t="s">
        <v>226</v>
      </c>
      <c r="W51" s="10" t="s">
        <v>116</v>
      </c>
      <c r="X51" s="10" t="s">
        <v>229</v>
      </c>
      <c r="Y51" s="10" t="s">
        <v>230</v>
      </c>
      <c r="Z51" s="10" t="s">
        <v>231</v>
      </c>
      <c r="AA51" s="10" t="s">
        <v>50</v>
      </c>
      <c r="AB51" s="10"/>
      <c r="AC51" s="16"/>
      <c r="AD51" s="10" t="s">
        <v>52</v>
      </c>
      <c r="AE51" s="10"/>
      <c r="AF51" s="10" t="s">
        <v>232</v>
      </c>
      <c r="AG51" s="10"/>
      <c r="AH51" s="10" t="s">
        <v>130</v>
      </c>
      <c r="AI51" s="12">
        <v>1036189</v>
      </c>
      <c r="AJ51" s="12" t="str">
        <f t="shared" ref="AJ51:AJ52" si="5">AH51</f>
        <v>BOB</v>
      </c>
      <c r="AK51" s="12">
        <f t="shared" ref="AK51:AK52" si="6">AI51/36926</f>
        <v>28.0612305692466</v>
      </c>
      <c r="AL51" s="10" t="s">
        <v>234</v>
      </c>
      <c r="AM51" s="10" t="s">
        <v>235</v>
      </c>
      <c r="AN51" s="10" t="s">
        <v>236</v>
      </c>
      <c r="AO51" s="10"/>
      <c r="AP51" s="10"/>
    </row>
    <row r="52" spans="1:42" x14ac:dyDescent="0.2">
      <c r="A52" s="32"/>
      <c r="B52" s="24"/>
      <c r="C52" s="24"/>
      <c r="D52" s="24"/>
      <c r="E52" s="24"/>
      <c r="F52" s="10"/>
      <c r="G52" s="10" t="s">
        <v>251</v>
      </c>
      <c r="H52" s="25" t="s">
        <v>253</v>
      </c>
      <c r="I52" s="10" t="s">
        <v>254</v>
      </c>
      <c r="J52" s="14" t="s">
        <v>244</v>
      </c>
      <c r="K52" s="10" t="s">
        <v>680</v>
      </c>
      <c r="L52" s="10" t="s">
        <v>681</v>
      </c>
      <c r="M52" s="10" t="s">
        <v>686</v>
      </c>
      <c r="N52" s="10" t="s">
        <v>687</v>
      </c>
      <c r="O52" s="10" t="s">
        <v>688</v>
      </c>
      <c r="P52" s="15" t="s">
        <v>689</v>
      </c>
      <c r="Q52" s="10"/>
      <c r="R52" s="10"/>
      <c r="S52" s="10"/>
      <c r="T52" s="10">
        <f t="shared" si="4"/>
        <v>2026</v>
      </c>
      <c r="U52" s="11"/>
      <c r="V52" s="10"/>
      <c r="W52" s="10"/>
      <c r="X52" s="10"/>
      <c r="Y52" s="10"/>
      <c r="Z52" s="10"/>
      <c r="AA52" s="10"/>
      <c r="AB52" s="10"/>
      <c r="AC52" s="11"/>
      <c r="AD52" s="10"/>
      <c r="AE52" s="10"/>
      <c r="AF52" s="10"/>
      <c r="AG52" s="10"/>
      <c r="AH52" s="10"/>
      <c r="AI52" s="12"/>
      <c r="AJ52" s="12">
        <f t="shared" si="5"/>
        <v>0</v>
      </c>
      <c r="AK52" s="12">
        <f t="shared" si="6"/>
        <v>0</v>
      </c>
      <c r="AL52" s="10"/>
      <c r="AM52" s="10"/>
      <c r="AN52" s="10"/>
      <c r="AO52" s="10"/>
      <c r="AP52" s="10"/>
    </row>
    <row r="53" spans="1:42" x14ac:dyDescent="0.2">
      <c r="A53" s="33"/>
      <c r="B53" s="24"/>
      <c r="C53" s="24"/>
      <c r="D53" s="24"/>
      <c r="E53" s="24"/>
      <c r="F53" s="10"/>
      <c r="G53" s="10"/>
      <c r="H53" s="24"/>
      <c r="I53" s="10" t="s">
        <v>257</v>
      </c>
      <c r="J53" s="14" t="s">
        <v>244</v>
      </c>
      <c r="K53" s="10" t="s">
        <v>680</v>
      </c>
      <c r="L53" s="10" t="s">
        <v>681</v>
      </c>
      <c r="M53" s="10" t="s">
        <v>690</v>
      </c>
      <c r="N53" s="10" t="s">
        <v>691</v>
      </c>
      <c r="O53" s="10" t="s">
        <v>692</v>
      </c>
      <c r="P53" s="15" t="s">
        <v>693</v>
      </c>
      <c r="Q53" s="10"/>
      <c r="R53" s="10"/>
      <c r="S53" s="10"/>
      <c r="T53" s="10"/>
      <c r="U53" s="11"/>
      <c r="V53" s="10"/>
      <c r="W53" s="10"/>
      <c r="X53" s="10"/>
      <c r="Y53" s="10"/>
      <c r="Z53" s="10"/>
      <c r="AA53" s="10"/>
      <c r="AB53" s="10"/>
      <c r="AC53" s="16"/>
      <c r="AD53" s="10"/>
      <c r="AE53" s="10"/>
      <c r="AF53" s="10"/>
      <c r="AG53" s="10"/>
      <c r="AH53" s="10"/>
      <c r="AI53" s="12"/>
      <c r="AJ53" s="12"/>
      <c r="AK53" s="12"/>
      <c r="AL53" s="10"/>
      <c r="AM53" s="10"/>
      <c r="AN53" s="10"/>
      <c r="AO53" s="10"/>
      <c r="AP53" s="10"/>
    </row>
    <row r="54" spans="1:42" x14ac:dyDescent="0.2">
      <c r="A54" s="32"/>
      <c r="B54" s="24"/>
      <c r="C54" s="24"/>
      <c r="D54" s="24"/>
      <c r="E54" s="24"/>
      <c r="F54" s="10"/>
      <c r="G54" s="10" t="s">
        <v>263</v>
      </c>
      <c r="H54" s="25" t="s">
        <v>264</v>
      </c>
      <c r="I54" s="10" t="s">
        <v>265</v>
      </c>
      <c r="J54" s="14" t="s">
        <v>244</v>
      </c>
      <c r="K54" s="10" t="s">
        <v>680</v>
      </c>
      <c r="L54" s="10" t="s">
        <v>681</v>
      </c>
      <c r="M54" s="10" t="s">
        <v>694</v>
      </c>
      <c r="N54" s="10" t="s">
        <v>695</v>
      </c>
      <c r="O54" s="10" t="s">
        <v>696</v>
      </c>
      <c r="P54" s="15" t="s">
        <v>697</v>
      </c>
      <c r="Q54" s="10"/>
      <c r="R54" s="10"/>
      <c r="S54" s="10"/>
      <c r="T54" s="10"/>
      <c r="U54" s="11"/>
      <c r="V54" s="10"/>
      <c r="W54" s="10"/>
      <c r="X54" s="10"/>
      <c r="Y54" s="10"/>
      <c r="Z54" s="10"/>
      <c r="AA54" s="10"/>
      <c r="AB54" s="10"/>
      <c r="AC54" s="11"/>
      <c r="AD54" s="10"/>
      <c r="AE54" s="10"/>
      <c r="AF54" s="10"/>
      <c r="AG54" s="10"/>
      <c r="AH54" s="10"/>
      <c r="AI54" s="12"/>
      <c r="AJ54" s="12"/>
      <c r="AK54" s="12"/>
      <c r="AL54" s="10"/>
      <c r="AM54" s="10"/>
      <c r="AN54" s="10"/>
      <c r="AO54" s="10"/>
      <c r="AP54" s="10"/>
    </row>
    <row r="55" spans="1:42" x14ac:dyDescent="0.2">
      <c r="A55" s="33"/>
      <c r="B55" s="24"/>
      <c r="C55" s="24"/>
      <c r="D55" s="24"/>
      <c r="E55" s="24"/>
      <c r="F55" s="14"/>
      <c r="G55" s="10"/>
      <c r="H55" s="24"/>
      <c r="I55" s="10" t="s">
        <v>266</v>
      </c>
      <c r="J55" s="14" t="s">
        <v>267</v>
      </c>
      <c r="K55" s="10" t="s">
        <v>680</v>
      </c>
      <c r="L55" s="10" t="s">
        <v>698</v>
      </c>
      <c r="M55" s="10" t="s">
        <v>699</v>
      </c>
      <c r="N55" s="10" t="s">
        <v>700</v>
      </c>
      <c r="O55" s="10" t="s">
        <v>701</v>
      </c>
      <c r="P55" s="15" t="s">
        <v>702</v>
      </c>
      <c r="Q55" s="10"/>
      <c r="R55" s="10"/>
      <c r="S55" s="10"/>
      <c r="T55" s="10">
        <f>2026-S55</f>
        <v>2026</v>
      </c>
      <c r="U55" s="11"/>
      <c r="V55" s="10"/>
      <c r="W55" s="10"/>
      <c r="X55" s="10"/>
      <c r="Y55" s="10"/>
      <c r="Z55" s="10"/>
      <c r="AA55" s="10"/>
      <c r="AB55" s="10"/>
      <c r="AC55" s="16"/>
      <c r="AD55" s="10"/>
      <c r="AE55" s="10"/>
      <c r="AF55" s="10"/>
      <c r="AG55" s="10"/>
      <c r="AH55" s="10"/>
      <c r="AI55" s="12"/>
      <c r="AJ55" s="12">
        <f>AH55</f>
        <v>0</v>
      </c>
      <c r="AK55" s="12">
        <f>AI55/36926</f>
        <v>0</v>
      </c>
      <c r="AL55" s="10"/>
      <c r="AM55" s="10"/>
      <c r="AN55" s="10"/>
      <c r="AO55" s="10"/>
      <c r="AP55" s="10"/>
    </row>
    <row r="56" spans="1:42" x14ac:dyDescent="0.2">
      <c r="A56" s="32"/>
      <c r="B56" s="10"/>
      <c r="C56" s="10"/>
      <c r="D56" s="10"/>
      <c r="E56" s="14"/>
      <c r="F56" s="14"/>
      <c r="G56" s="10"/>
      <c r="H56" s="10"/>
      <c r="I56" s="10"/>
      <c r="J56" s="14"/>
      <c r="K56" s="10" t="s">
        <v>680</v>
      </c>
      <c r="L56" s="10" t="s">
        <v>703</v>
      </c>
      <c r="M56" s="10" t="s">
        <v>704</v>
      </c>
      <c r="N56" s="10" t="s">
        <v>705</v>
      </c>
      <c r="O56" s="10" t="s">
        <v>706</v>
      </c>
      <c r="P56" s="15" t="s">
        <v>707</v>
      </c>
      <c r="Q56" s="10"/>
      <c r="R56" s="10"/>
      <c r="S56" s="10"/>
      <c r="T56" s="10"/>
      <c r="U56" s="11"/>
      <c r="V56" s="10"/>
      <c r="W56" s="10"/>
      <c r="X56" s="10"/>
      <c r="Y56" s="10"/>
      <c r="Z56" s="10"/>
      <c r="AA56" s="10"/>
      <c r="AB56" s="10"/>
      <c r="AC56" s="11"/>
      <c r="AD56" s="10"/>
      <c r="AE56" s="10"/>
      <c r="AF56" s="10"/>
      <c r="AG56" s="10"/>
      <c r="AH56" s="10"/>
      <c r="AI56" s="12"/>
      <c r="AJ56" s="12"/>
      <c r="AK56" s="12"/>
      <c r="AL56" s="10"/>
      <c r="AM56" s="10"/>
      <c r="AN56" s="10"/>
      <c r="AO56" s="10"/>
      <c r="AP56" s="10"/>
    </row>
    <row r="57" spans="1:42" x14ac:dyDescent="0.2">
      <c r="A57" s="33"/>
      <c r="B57" s="10"/>
      <c r="C57" s="10"/>
      <c r="D57" s="10"/>
      <c r="E57" s="14"/>
      <c r="F57" s="14"/>
      <c r="G57" s="10"/>
      <c r="H57" s="10"/>
      <c r="I57" s="10"/>
      <c r="J57" s="14"/>
      <c r="K57" s="10" t="s">
        <v>680</v>
      </c>
      <c r="L57" s="10" t="s">
        <v>708</v>
      </c>
      <c r="M57" s="10" t="s">
        <v>709</v>
      </c>
      <c r="N57" s="10" t="s">
        <v>710</v>
      </c>
      <c r="O57" s="10" t="s">
        <v>711</v>
      </c>
      <c r="P57" s="15" t="s">
        <v>712</v>
      </c>
      <c r="Q57" s="10"/>
      <c r="R57" s="10"/>
      <c r="S57" s="10"/>
      <c r="T57" s="10"/>
      <c r="U57" s="11"/>
      <c r="V57" s="10"/>
      <c r="W57" s="10"/>
      <c r="X57" s="10"/>
      <c r="Y57" s="10"/>
      <c r="Z57" s="10"/>
      <c r="AA57" s="10"/>
      <c r="AB57" s="10"/>
      <c r="AC57" s="16"/>
      <c r="AD57" s="10"/>
      <c r="AE57" s="10"/>
      <c r="AF57" s="10"/>
      <c r="AG57" s="10"/>
      <c r="AH57" s="10"/>
      <c r="AI57" s="12"/>
      <c r="AJ57" s="12"/>
      <c r="AK57" s="12"/>
      <c r="AL57" s="10"/>
      <c r="AM57" s="10"/>
      <c r="AN57" s="10"/>
      <c r="AO57" s="10"/>
      <c r="AP57" s="10"/>
    </row>
    <row r="58" spans="1:42" x14ac:dyDescent="0.2">
      <c r="A58" s="34"/>
      <c r="B58" s="18"/>
      <c r="C58" s="18"/>
      <c r="D58" s="18"/>
      <c r="E58" s="19"/>
      <c r="F58" s="19"/>
      <c r="G58" s="18"/>
      <c r="H58" s="18"/>
      <c r="I58" s="18"/>
      <c r="J58" s="19"/>
      <c r="K58" s="18" t="s">
        <v>713</v>
      </c>
      <c r="L58" s="22" t="s">
        <v>714</v>
      </c>
      <c r="M58" s="18" t="s">
        <v>715</v>
      </c>
      <c r="N58" s="18" t="s">
        <v>716</v>
      </c>
      <c r="O58" s="18" t="s">
        <v>717</v>
      </c>
      <c r="P58" s="20" t="s">
        <v>718</v>
      </c>
      <c r="Q58" s="10"/>
      <c r="R58" s="10"/>
      <c r="S58" s="10"/>
      <c r="T58" s="10"/>
      <c r="U58" s="11"/>
      <c r="V58" s="10"/>
      <c r="W58" s="10"/>
      <c r="X58" s="10"/>
      <c r="Y58" s="10"/>
      <c r="Z58" s="10"/>
      <c r="AA58" s="10"/>
      <c r="AB58" s="10"/>
      <c r="AC58" s="11"/>
      <c r="AD58" s="10"/>
      <c r="AE58" s="10"/>
      <c r="AF58" s="10"/>
      <c r="AG58" s="10"/>
      <c r="AH58" s="10"/>
      <c r="AI58" s="12"/>
      <c r="AJ58" s="12"/>
      <c r="AK58" s="12"/>
      <c r="AL58" s="10"/>
      <c r="AM58" s="10"/>
      <c r="AN58" s="10"/>
      <c r="AO58" s="10"/>
      <c r="AP58" s="10"/>
    </row>
    <row r="59" spans="1:42" x14ac:dyDescent="0.2">
      <c r="A59" s="31" t="s">
        <v>138</v>
      </c>
      <c r="B59" s="27" t="s">
        <v>268</v>
      </c>
      <c r="C59" s="27" t="s">
        <v>139</v>
      </c>
      <c r="D59" s="27" t="s">
        <v>140</v>
      </c>
      <c r="E59" s="30" t="s">
        <v>106</v>
      </c>
      <c r="F59" s="7"/>
      <c r="G59" s="7" t="s">
        <v>269</v>
      </c>
      <c r="H59" s="27" t="s">
        <v>270</v>
      </c>
      <c r="I59" s="7" t="s">
        <v>271</v>
      </c>
      <c r="J59" s="8" t="s">
        <v>137</v>
      </c>
      <c r="K59" s="27" t="s">
        <v>719</v>
      </c>
      <c r="L59" s="7" t="s">
        <v>720</v>
      </c>
      <c r="M59" s="7" t="s">
        <v>721</v>
      </c>
      <c r="N59" s="7" t="s">
        <v>722</v>
      </c>
      <c r="O59" s="7" t="s">
        <v>723</v>
      </c>
      <c r="P59" s="9" t="s">
        <v>724</v>
      </c>
      <c r="Q59" s="10"/>
      <c r="R59" s="10" t="s">
        <v>141</v>
      </c>
      <c r="S59" s="10">
        <v>2011</v>
      </c>
      <c r="T59" s="10">
        <f>2026-S59</f>
        <v>15</v>
      </c>
      <c r="U59" s="11"/>
      <c r="V59" s="10" t="s">
        <v>151</v>
      </c>
      <c r="W59" s="10" t="s">
        <v>116</v>
      </c>
      <c r="X59" s="10" t="s">
        <v>156</v>
      </c>
      <c r="Y59" s="10" t="s">
        <v>158</v>
      </c>
      <c r="Z59" s="10" t="s">
        <v>162</v>
      </c>
      <c r="AA59" s="10" t="s">
        <v>164</v>
      </c>
      <c r="AB59" s="10" t="s">
        <v>166</v>
      </c>
      <c r="AC59" s="16"/>
      <c r="AD59" s="10" t="s">
        <v>52</v>
      </c>
      <c r="AE59" s="10"/>
      <c r="AF59" s="10" t="s">
        <v>170</v>
      </c>
      <c r="AG59" s="10"/>
      <c r="AH59" s="10" t="s">
        <v>130</v>
      </c>
      <c r="AI59" s="12">
        <v>26400000</v>
      </c>
      <c r="AJ59" s="12" t="str">
        <f>AH59</f>
        <v>BOB</v>
      </c>
      <c r="AK59" s="12">
        <f>AI59/16</f>
        <v>1650000</v>
      </c>
      <c r="AL59" s="10" t="s">
        <v>172</v>
      </c>
      <c r="AM59" s="10" t="s">
        <v>174</v>
      </c>
      <c r="AN59" s="10" t="s">
        <v>177</v>
      </c>
      <c r="AO59" s="10"/>
      <c r="AP59" s="10"/>
    </row>
    <row r="60" spans="1:42" x14ac:dyDescent="0.2">
      <c r="A60" s="32"/>
      <c r="B60" s="24"/>
      <c r="C60" s="24"/>
      <c r="D60" s="24"/>
      <c r="E60" s="24"/>
      <c r="F60" s="10"/>
      <c r="G60" s="10"/>
      <c r="H60" s="24"/>
      <c r="I60" s="10" t="s">
        <v>277</v>
      </c>
      <c r="J60" s="14" t="s">
        <v>137</v>
      </c>
      <c r="K60" s="24"/>
      <c r="L60" s="7" t="s">
        <v>720</v>
      </c>
      <c r="M60" s="10" t="s">
        <v>725</v>
      </c>
      <c r="N60" s="10" t="s">
        <v>726</v>
      </c>
      <c r="O60" s="10" t="s">
        <v>727</v>
      </c>
      <c r="P60" s="15" t="s">
        <v>728</v>
      </c>
      <c r="Q60" s="10"/>
      <c r="R60" s="10"/>
      <c r="S60" s="10"/>
      <c r="T60" s="10"/>
      <c r="U60" s="11"/>
      <c r="V60" s="10"/>
      <c r="W60" s="10"/>
      <c r="X60" s="10"/>
      <c r="Y60" s="10"/>
      <c r="Z60" s="10"/>
      <c r="AA60" s="10"/>
      <c r="AB60" s="10"/>
      <c r="AC60" s="11"/>
      <c r="AD60" s="10"/>
      <c r="AE60" s="10"/>
      <c r="AF60" s="10"/>
      <c r="AG60" s="10"/>
      <c r="AH60" s="10"/>
      <c r="AI60" s="12"/>
      <c r="AJ60" s="12"/>
      <c r="AK60" s="12"/>
      <c r="AL60" s="10"/>
      <c r="AM60" s="10"/>
      <c r="AN60" s="10"/>
      <c r="AO60" s="10"/>
      <c r="AP60" s="10"/>
    </row>
    <row r="61" spans="1:42" x14ac:dyDescent="0.2">
      <c r="A61" s="33"/>
      <c r="B61" s="24"/>
      <c r="C61" s="24"/>
      <c r="D61" s="24"/>
      <c r="E61" s="24"/>
      <c r="F61" s="14"/>
      <c r="G61" s="10"/>
      <c r="H61" s="24"/>
      <c r="I61" s="10" t="s">
        <v>286</v>
      </c>
      <c r="J61" s="14" t="s">
        <v>287</v>
      </c>
      <c r="K61" s="24"/>
      <c r="L61" s="10" t="s">
        <v>729</v>
      </c>
      <c r="M61" s="10" t="s">
        <v>730</v>
      </c>
      <c r="N61" s="10" t="s">
        <v>731</v>
      </c>
      <c r="O61" s="10" t="s">
        <v>732</v>
      </c>
      <c r="P61" s="15" t="s">
        <v>733</v>
      </c>
      <c r="Q61" s="10"/>
      <c r="R61" s="10"/>
      <c r="S61" s="10"/>
      <c r="T61" s="10"/>
      <c r="U61" s="11"/>
      <c r="V61" s="10"/>
      <c r="W61" s="10"/>
      <c r="X61" s="10"/>
      <c r="Y61" s="10"/>
      <c r="Z61" s="10"/>
      <c r="AA61" s="10"/>
      <c r="AB61" s="10"/>
      <c r="AC61" s="16"/>
      <c r="AD61" s="10"/>
      <c r="AE61" s="10"/>
      <c r="AF61" s="10"/>
      <c r="AG61" s="10"/>
      <c r="AH61" s="10"/>
      <c r="AI61" s="12"/>
      <c r="AJ61" s="12"/>
      <c r="AK61" s="12"/>
      <c r="AL61" s="10"/>
      <c r="AM61" s="10"/>
      <c r="AN61" s="10"/>
      <c r="AO61" s="10"/>
      <c r="AP61" s="10"/>
    </row>
    <row r="62" spans="1:42" x14ac:dyDescent="0.2">
      <c r="A62" s="32"/>
      <c r="B62" s="24"/>
      <c r="C62" s="24"/>
      <c r="D62" s="24"/>
      <c r="E62" s="24"/>
      <c r="F62" s="14"/>
      <c r="G62" s="10" t="s">
        <v>290</v>
      </c>
      <c r="H62" s="25" t="s">
        <v>292</v>
      </c>
      <c r="I62" s="10" t="s">
        <v>293</v>
      </c>
      <c r="J62" s="14" t="s">
        <v>295</v>
      </c>
      <c r="K62" s="24"/>
      <c r="L62" s="10" t="s">
        <v>729</v>
      </c>
      <c r="M62" s="10" t="s">
        <v>734</v>
      </c>
      <c r="N62" s="10" t="s">
        <v>735</v>
      </c>
      <c r="O62" s="10" t="s">
        <v>736</v>
      </c>
      <c r="P62" s="15" t="s">
        <v>737</v>
      </c>
      <c r="Q62" s="10"/>
      <c r="R62" s="10"/>
      <c r="S62" s="10"/>
      <c r="T62" s="10">
        <f>2026-S62</f>
        <v>2026</v>
      </c>
      <c r="U62" s="11"/>
      <c r="V62" s="10"/>
      <c r="W62" s="10"/>
      <c r="X62" s="10"/>
      <c r="Y62" s="10"/>
      <c r="Z62" s="10"/>
      <c r="AA62" s="10"/>
      <c r="AB62" s="10"/>
      <c r="AC62" s="11"/>
      <c r="AD62" s="10"/>
      <c r="AE62" s="10"/>
      <c r="AF62" s="10"/>
      <c r="AG62" s="10"/>
      <c r="AH62" s="10"/>
      <c r="AI62" s="12"/>
      <c r="AJ62" s="12">
        <f>AH62</f>
        <v>0</v>
      </c>
      <c r="AK62" s="12">
        <f>AI62/16</f>
        <v>0</v>
      </c>
      <c r="AL62" s="10"/>
      <c r="AM62" s="10"/>
      <c r="AN62" s="10"/>
      <c r="AO62" s="10"/>
      <c r="AP62" s="10"/>
    </row>
    <row r="63" spans="1:42" x14ac:dyDescent="0.2">
      <c r="A63" s="33"/>
      <c r="B63" s="24"/>
      <c r="C63" s="24"/>
      <c r="D63" s="24"/>
      <c r="E63" s="24"/>
      <c r="F63" s="10"/>
      <c r="G63" s="10"/>
      <c r="H63" s="24"/>
      <c r="I63" s="10" t="s">
        <v>300</v>
      </c>
      <c r="J63" s="14" t="s">
        <v>137</v>
      </c>
      <c r="K63" s="24"/>
      <c r="L63" s="10" t="s">
        <v>729</v>
      </c>
      <c r="M63" s="10" t="s">
        <v>738</v>
      </c>
      <c r="N63" s="10" t="s">
        <v>739</v>
      </c>
      <c r="O63" s="10" t="s">
        <v>740</v>
      </c>
      <c r="P63" s="15" t="s">
        <v>741</v>
      </c>
      <c r="Q63" s="10"/>
      <c r="R63" s="10"/>
      <c r="S63" s="10"/>
      <c r="T63" s="10"/>
      <c r="U63" s="11"/>
      <c r="V63" s="10"/>
      <c r="W63" s="10"/>
      <c r="X63" s="10"/>
      <c r="Y63" s="10"/>
      <c r="Z63" s="10"/>
      <c r="AA63" s="10"/>
      <c r="AB63" s="10"/>
      <c r="AC63" s="16"/>
      <c r="AD63" s="10"/>
      <c r="AE63" s="10"/>
      <c r="AF63" s="10"/>
      <c r="AG63" s="10"/>
      <c r="AH63" s="10"/>
      <c r="AI63" s="12"/>
      <c r="AJ63" s="12"/>
      <c r="AK63" s="12"/>
      <c r="AL63" s="10"/>
      <c r="AM63" s="10"/>
      <c r="AN63" s="10"/>
      <c r="AO63" s="10"/>
      <c r="AP63" s="10"/>
    </row>
    <row r="64" spans="1:42" x14ac:dyDescent="0.2">
      <c r="A64" s="32"/>
      <c r="B64" s="24"/>
      <c r="C64" s="24"/>
      <c r="D64" s="24"/>
      <c r="E64" s="24"/>
      <c r="F64" s="14"/>
      <c r="G64" s="10" t="s">
        <v>305</v>
      </c>
      <c r="H64" s="10" t="s">
        <v>306</v>
      </c>
      <c r="I64" s="10" t="s">
        <v>308</v>
      </c>
      <c r="J64" s="14" t="s">
        <v>73</v>
      </c>
      <c r="K64" s="24"/>
      <c r="L64" s="10" t="s">
        <v>742</v>
      </c>
      <c r="M64" s="10" t="s">
        <v>743</v>
      </c>
      <c r="N64" s="10" t="s">
        <v>744</v>
      </c>
      <c r="O64" s="10" t="s">
        <v>745</v>
      </c>
      <c r="P64" s="15" t="s">
        <v>746</v>
      </c>
      <c r="Q64" s="10"/>
      <c r="R64" s="10"/>
      <c r="S64" s="10"/>
      <c r="T64" s="10">
        <f>2026-S64</f>
        <v>2026</v>
      </c>
      <c r="U64" s="11"/>
      <c r="V64" s="10"/>
      <c r="W64" s="10"/>
      <c r="X64" s="10"/>
      <c r="Y64" s="10"/>
      <c r="Z64" s="10"/>
      <c r="AA64" s="10"/>
      <c r="AB64" s="10"/>
      <c r="AC64" s="11"/>
      <c r="AD64" s="10"/>
      <c r="AE64" s="10"/>
      <c r="AF64" s="10"/>
      <c r="AG64" s="10"/>
      <c r="AH64" s="10"/>
      <c r="AI64" s="12"/>
      <c r="AJ64" s="12">
        <f>AH64</f>
        <v>0</v>
      </c>
      <c r="AK64" s="12">
        <f>AI64/16</f>
        <v>0</v>
      </c>
      <c r="AL64" s="10"/>
      <c r="AM64" s="10"/>
      <c r="AN64" s="10"/>
      <c r="AO64" s="10"/>
      <c r="AP64" s="10"/>
    </row>
    <row r="65" spans="1:42" x14ac:dyDescent="0.2">
      <c r="A65" s="33"/>
      <c r="B65" s="24"/>
      <c r="C65" s="24"/>
      <c r="D65" s="24"/>
      <c r="E65" s="24"/>
      <c r="F65" s="14"/>
      <c r="G65" s="10"/>
      <c r="H65" s="10"/>
      <c r="I65" s="10"/>
      <c r="J65" s="14"/>
      <c r="K65" s="24"/>
      <c r="L65" s="10" t="s">
        <v>742</v>
      </c>
      <c r="M65" s="10" t="s">
        <v>747</v>
      </c>
      <c r="N65" s="10" t="s">
        <v>748</v>
      </c>
      <c r="O65" s="10" t="s">
        <v>749</v>
      </c>
      <c r="P65" s="15" t="s">
        <v>750</v>
      </c>
      <c r="Q65" s="10"/>
      <c r="R65" s="10"/>
      <c r="S65" s="10"/>
      <c r="T65" s="10"/>
      <c r="U65" s="11"/>
      <c r="V65" s="10"/>
      <c r="W65" s="10"/>
      <c r="X65" s="10"/>
      <c r="Y65" s="10"/>
      <c r="Z65" s="10"/>
      <c r="AA65" s="10"/>
      <c r="AB65" s="10"/>
      <c r="AC65" s="16"/>
      <c r="AD65" s="10"/>
      <c r="AE65" s="10"/>
      <c r="AF65" s="10"/>
      <c r="AG65" s="10"/>
      <c r="AH65" s="10"/>
      <c r="AI65" s="12"/>
      <c r="AJ65" s="12"/>
      <c r="AK65" s="12"/>
      <c r="AL65" s="10"/>
      <c r="AM65" s="10"/>
      <c r="AN65" s="10"/>
      <c r="AO65" s="10"/>
      <c r="AP65" s="10"/>
    </row>
    <row r="66" spans="1:42" x14ac:dyDescent="0.2">
      <c r="A66" s="34"/>
      <c r="B66" s="28"/>
      <c r="C66" s="28"/>
      <c r="D66" s="28"/>
      <c r="E66" s="28"/>
      <c r="F66" s="14"/>
      <c r="G66" s="10"/>
      <c r="H66" s="10"/>
      <c r="I66" s="10"/>
      <c r="J66" s="14"/>
      <c r="K66" s="28"/>
      <c r="L66" s="10" t="s">
        <v>742</v>
      </c>
      <c r="M66" s="10" t="s">
        <v>751</v>
      </c>
      <c r="N66" s="10" t="s">
        <v>752</v>
      </c>
      <c r="O66" s="10" t="s">
        <v>753</v>
      </c>
      <c r="P66" s="15" t="s">
        <v>754</v>
      </c>
      <c r="Q66" s="10"/>
      <c r="R66" s="10"/>
      <c r="S66" s="10"/>
      <c r="T66" s="10"/>
      <c r="U66" s="11"/>
      <c r="V66" s="10"/>
      <c r="W66" s="10"/>
      <c r="X66" s="10"/>
      <c r="Y66" s="10"/>
      <c r="Z66" s="10"/>
      <c r="AA66" s="10"/>
      <c r="AB66" s="10"/>
      <c r="AC66" s="11"/>
      <c r="AD66" s="10"/>
      <c r="AE66" s="10"/>
      <c r="AF66" s="10"/>
      <c r="AG66" s="10"/>
      <c r="AH66" s="10"/>
      <c r="AI66" s="12"/>
      <c r="AJ66" s="12"/>
      <c r="AK66" s="12"/>
      <c r="AL66" s="10"/>
      <c r="AM66" s="10"/>
      <c r="AN66" s="10"/>
      <c r="AO66" s="10"/>
      <c r="AP66" s="10"/>
    </row>
    <row r="67" spans="1:42" x14ac:dyDescent="0.2">
      <c r="A67" s="31" t="s">
        <v>110</v>
      </c>
      <c r="B67" s="27" t="s">
        <v>313</v>
      </c>
      <c r="C67" s="27" t="s">
        <v>112</v>
      </c>
      <c r="D67" s="27" t="s">
        <v>113</v>
      </c>
      <c r="E67" s="30" t="s">
        <v>106</v>
      </c>
      <c r="F67" s="7"/>
      <c r="G67" s="7" t="s">
        <v>316</v>
      </c>
      <c r="H67" s="7" t="s">
        <v>317</v>
      </c>
      <c r="I67" s="7" t="s">
        <v>318</v>
      </c>
      <c r="J67" s="8" t="s">
        <v>111</v>
      </c>
      <c r="K67" s="7" t="s">
        <v>613</v>
      </c>
      <c r="L67" s="7" t="s">
        <v>755</v>
      </c>
      <c r="M67" s="7" t="s">
        <v>756</v>
      </c>
      <c r="N67" s="7" t="s">
        <v>757</v>
      </c>
      <c r="O67" s="7" t="s">
        <v>758</v>
      </c>
      <c r="P67" s="9" t="s">
        <v>759</v>
      </c>
      <c r="Q67" s="10"/>
      <c r="R67" s="10" t="s">
        <v>114</v>
      </c>
      <c r="S67" s="10">
        <v>2007</v>
      </c>
      <c r="T67" s="10">
        <v>19</v>
      </c>
      <c r="U67" s="11"/>
      <c r="V67" s="10" t="s">
        <v>115</v>
      </c>
      <c r="W67" s="10" t="s">
        <v>116</v>
      </c>
      <c r="X67" s="10" t="s">
        <v>118</v>
      </c>
      <c r="Y67" s="10" t="s">
        <v>119</v>
      </c>
      <c r="Z67" s="10" t="s">
        <v>120</v>
      </c>
      <c r="AA67" s="10" t="s">
        <v>121</v>
      </c>
      <c r="AB67" s="10" t="s">
        <v>122</v>
      </c>
      <c r="AC67" s="16"/>
      <c r="AD67" s="10" t="s">
        <v>52</v>
      </c>
      <c r="AE67" s="10" t="s">
        <v>123</v>
      </c>
      <c r="AF67" s="10" t="s">
        <v>125</v>
      </c>
      <c r="AG67" s="10" t="s">
        <v>128</v>
      </c>
      <c r="AH67" s="10" t="s">
        <v>130</v>
      </c>
      <c r="AI67" s="12">
        <v>584060000</v>
      </c>
      <c r="AJ67" s="12" t="str">
        <f t="shared" ref="AJ67:AJ69" si="7">AH67</f>
        <v>BOB</v>
      </c>
      <c r="AK67" s="12">
        <f t="shared" ref="AK67:AK69" si="8">AI67/2318</f>
        <v>251967.21311475409</v>
      </c>
      <c r="AL67" s="10" t="s">
        <v>131</v>
      </c>
      <c r="AM67" s="10" t="s">
        <v>132</v>
      </c>
      <c r="AN67" s="10" t="s">
        <v>134</v>
      </c>
      <c r="AO67" s="10"/>
      <c r="AP67" s="10"/>
    </row>
    <row r="68" spans="1:42" x14ac:dyDescent="0.2">
      <c r="A68" s="32"/>
      <c r="B68" s="24"/>
      <c r="C68" s="24"/>
      <c r="D68" s="24"/>
      <c r="E68" s="24"/>
      <c r="F68" s="10"/>
      <c r="G68" s="10" t="s">
        <v>322</v>
      </c>
      <c r="H68" s="10" t="s">
        <v>323</v>
      </c>
      <c r="I68" s="10" t="s">
        <v>324</v>
      </c>
      <c r="J68" s="14" t="s">
        <v>111</v>
      </c>
      <c r="K68" s="10" t="s">
        <v>613</v>
      </c>
      <c r="L68" s="10" t="s">
        <v>755</v>
      </c>
      <c r="M68" s="10" t="s">
        <v>760</v>
      </c>
      <c r="N68" s="10" t="s">
        <v>761</v>
      </c>
      <c r="O68" s="10" t="s">
        <v>762</v>
      </c>
      <c r="P68" s="15" t="s">
        <v>763</v>
      </c>
      <c r="Q68" s="10"/>
      <c r="R68" s="10"/>
      <c r="S68" s="10"/>
      <c r="T68" s="10"/>
      <c r="U68" s="11"/>
      <c r="V68" s="10"/>
      <c r="W68" s="10"/>
      <c r="X68" s="10"/>
      <c r="Y68" s="10"/>
      <c r="Z68" s="10"/>
      <c r="AA68" s="10"/>
      <c r="AB68" s="10"/>
      <c r="AC68" s="11"/>
      <c r="AD68" s="10"/>
      <c r="AE68" s="10"/>
      <c r="AF68" s="10"/>
      <c r="AG68" s="10"/>
      <c r="AH68" s="10"/>
      <c r="AI68" s="12"/>
      <c r="AJ68" s="12">
        <f t="shared" si="7"/>
        <v>0</v>
      </c>
      <c r="AK68" s="12">
        <f t="shared" si="8"/>
        <v>0</v>
      </c>
      <c r="AL68" s="10"/>
      <c r="AM68" s="10"/>
      <c r="AN68" s="10"/>
      <c r="AO68" s="10"/>
      <c r="AP68" s="10"/>
    </row>
    <row r="69" spans="1:42" x14ac:dyDescent="0.2">
      <c r="A69" s="33"/>
      <c r="B69" s="24"/>
      <c r="C69" s="24"/>
      <c r="D69" s="24"/>
      <c r="E69" s="24"/>
      <c r="F69" s="10"/>
      <c r="G69" s="10" t="s">
        <v>331</v>
      </c>
      <c r="H69" s="10" t="s">
        <v>332</v>
      </c>
      <c r="I69" s="10" t="s">
        <v>333</v>
      </c>
      <c r="J69" s="14" t="s">
        <v>129</v>
      </c>
      <c r="K69" s="10" t="s">
        <v>613</v>
      </c>
      <c r="L69" s="10" t="s">
        <v>755</v>
      </c>
      <c r="M69" s="10" t="s">
        <v>764</v>
      </c>
      <c r="N69" s="10" t="s">
        <v>765</v>
      </c>
      <c r="O69" s="10" t="s">
        <v>766</v>
      </c>
      <c r="P69" s="15" t="s">
        <v>767</v>
      </c>
      <c r="Q69" s="10"/>
      <c r="R69" s="10"/>
      <c r="S69" s="10"/>
      <c r="T69" s="10"/>
      <c r="U69" s="11"/>
      <c r="V69" s="10"/>
      <c r="W69" s="10"/>
      <c r="X69" s="10"/>
      <c r="Y69" s="10"/>
      <c r="Z69" s="10"/>
      <c r="AA69" s="10"/>
      <c r="AB69" s="10"/>
      <c r="AC69" s="16"/>
      <c r="AD69" s="10"/>
      <c r="AE69" s="10"/>
      <c r="AF69" s="10"/>
      <c r="AG69" s="10"/>
      <c r="AH69" s="10"/>
      <c r="AI69" s="12"/>
      <c r="AJ69" s="12">
        <f t="shared" si="7"/>
        <v>0</v>
      </c>
      <c r="AK69" s="12">
        <f t="shared" si="8"/>
        <v>0</v>
      </c>
      <c r="AL69" s="10"/>
      <c r="AM69" s="10"/>
      <c r="AN69" s="10"/>
      <c r="AO69" s="10"/>
      <c r="AP69" s="10"/>
    </row>
    <row r="70" spans="1:42" x14ac:dyDescent="0.2">
      <c r="A70" s="32"/>
      <c r="B70" s="10"/>
      <c r="C70" s="10"/>
      <c r="D70" s="10"/>
      <c r="E70" s="14"/>
      <c r="F70" s="10"/>
      <c r="G70" s="10"/>
      <c r="H70" s="10"/>
      <c r="I70" s="10"/>
      <c r="J70" s="14"/>
      <c r="K70" s="10" t="s">
        <v>768</v>
      </c>
      <c r="L70" s="10" t="s">
        <v>769</v>
      </c>
      <c r="M70" s="10" t="s">
        <v>770</v>
      </c>
      <c r="N70" s="10" t="s">
        <v>771</v>
      </c>
      <c r="O70" s="10" t="s">
        <v>772</v>
      </c>
      <c r="P70" s="15" t="s">
        <v>773</v>
      </c>
      <c r="Q70" s="10"/>
      <c r="R70" s="10"/>
      <c r="S70" s="10"/>
      <c r="T70" s="10"/>
      <c r="U70" s="11"/>
      <c r="V70" s="10"/>
      <c r="W70" s="10"/>
      <c r="X70" s="10"/>
      <c r="Y70" s="10"/>
      <c r="Z70" s="10"/>
      <c r="AA70" s="10"/>
      <c r="AB70" s="10"/>
      <c r="AC70" s="11"/>
      <c r="AD70" s="10"/>
      <c r="AE70" s="10"/>
      <c r="AF70" s="10"/>
      <c r="AG70" s="10"/>
      <c r="AH70" s="10"/>
      <c r="AI70" s="12"/>
      <c r="AJ70" s="12"/>
      <c r="AK70" s="12"/>
      <c r="AL70" s="10"/>
      <c r="AM70" s="10"/>
      <c r="AN70" s="10"/>
      <c r="AO70" s="10"/>
      <c r="AP70" s="10"/>
    </row>
    <row r="71" spans="1:42" x14ac:dyDescent="0.2">
      <c r="A71" s="33"/>
      <c r="B71" s="10"/>
      <c r="C71" s="10"/>
      <c r="D71" s="10"/>
      <c r="E71" s="14"/>
      <c r="F71" s="10"/>
      <c r="G71" s="10"/>
      <c r="H71" s="10"/>
      <c r="I71" s="10"/>
      <c r="J71" s="14"/>
      <c r="K71" s="10" t="s">
        <v>768</v>
      </c>
      <c r="L71" s="10" t="s">
        <v>769</v>
      </c>
      <c r="M71" s="10" t="s">
        <v>774</v>
      </c>
      <c r="N71" s="10" t="s">
        <v>775</v>
      </c>
      <c r="O71" s="10" t="s">
        <v>776</v>
      </c>
      <c r="P71" s="15" t="s">
        <v>777</v>
      </c>
      <c r="Q71" s="10"/>
      <c r="R71" s="10"/>
      <c r="S71" s="10"/>
      <c r="T71" s="10"/>
      <c r="U71" s="11"/>
      <c r="V71" s="10"/>
      <c r="W71" s="10"/>
      <c r="X71" s="10"/>
      <c r="Y71" s="10"/>
      <c r="Z71" s="10"/>
      <c r="AA71" s="10"/>
      <c r="AB71" s="10"/>
      <c r="AC71" s="16"/>
      <c r="AD71" s="10"/>
      <c r="AE71" s="10"/>
      <c r="AF71" s="10"/>
      <c r="AG71" s="10"/>
      <c r="AH71" s="10"/>
      <c r="AI71" s="12"/>
      <c r="AJ71" s="12"/>
      <c r="AK71" s="12"/>
      <c r="AL71" s="10"/>
      <c r="AM71" s="10"/>
      <c r="AN71" s="10"/>
      <c r="AO71" s="10"/>
      <c r="AP71" s="10"/>
    </row>
    <row r="72" spans="1:42" x14ac:dyDescent="0.2">
      <c r="A72" s="32"/>
      <c r="B72" s="10"/>
      <c r="C72" s="10"/>
      <c r="D72" s="10"/>
      <c r="E72" s="14"/>
      <c r="F72" s="10"/>
      <c r="G72" s="10"/>
      <c r="H72" s="10"/>
      <c r="I72" s="10"/>
      <c r="J72" s="14"/>
      <c r="K72" s="10" t="s">
        <v>768</v>
      </c>
      <c r="L72" s="10" t="s">
        <v>769</v>
      </c>
      <c r="M72" s="10" t="s">
        <v>778</v>
      </c>
      <c r="N72" s="10" t="s">
        <v>779</v>
      </c>
      <c r="O72" s="10" t="s">
        <v>780</v>
      </c>
      <c r="P72" s="15" t="s">
        <v>781</v>
      </c>
      <c r="Q72" s="10"/>
      <c r="R72" s="10"/>
      <c r="S72" s="10"/>
      <c r="T72" s="10"/>
      <c r="U72" s="11"/>
      <c r="V72" s="10"/>
      <c r="W72" s="10"/>
      <c r="X72" s="10"/>
      <c r="Y72" s="10"/>
      <c r="Z72" s="10"/>
      <c r="AA72" s="10"/>
      <c r="AB72" s="10"/>
      <c r="AC72" s="11"/>
      <c r="AD72" s="10"/>
      <c r="AE72" s="10"/>
      <c r="AF72" s="10"/>
      <c r="AG72" s="10"/>
      <c r="AH72" s="10"/>
      <c r="AI72" s="12"/>
      <c r="AJ72" s="12"/>
      <c r="AK72" s="12"/>
      <c r="AL72" s="10"/>
      <c r="AM72" s="10"/>
      <c r="AN72" s="10"/>
      <c r="AO72" s="10"/>
      <c r="AP72" s="10"/>
    </row>
    <row r="73" spans="1:42" x14ac:dyDescent="0.2">
      <c r="A73" s="33"/>
      <c r="B73" s="10"/>
      <c r="C73" s="10"/>
      <c r="D73" s="10"/>
      <c r="E73" s="14"/>
      <c r="F73" s="10"/>
      <c r="G73" s="10"/>
      <c r="H73" s="10"/>
      <c r="I73" s="10"/>
      <c r="J73" s="14"/>
      <c r="K73" s="10" t="s">
        <v>782</v>
      </c>
      <c r="L73" s="10" t="s">
        <v>783</v>
      </c>
      <c r="M73" s="10" t="s">
        <v>784</v>
      </c>
      <c r="N73" s="10" t="s">
        <v>785</v>
      </c>
      <c r="O73" s="10" t="s">
        <v>786</v>
      </c>
      <c r="P73" s="15" t="s">
        <v>787</v>
      </c>
      <c r="Q73" s="10"/>
      <c r="R73" s="10"/>
      <c r="S73" s="10"/>
      <c r="T73" s="10"/>
      <c r="U73" s="11"/>
      <c r="V73" s="10"/>
      <c r="W73" s="10"/>
      <c r="X73" s="10"/>
      <c r="Y73" s="10"/>
      <c r="Z73" s="10"/>
      <c r="AA73" s="10"/>
      <c r="AB73" s="10"/>
      <c r="AC73" s="16"/>
      <c r="AD73" s="10"/>
      <c r="AE73" s="10"/>
      <c r="AF73" s="10"/>
      <c r="AG73" s="10"/>
      <c r="AH73" s="10"/>
      <c r="AI73" s="12"/>
      <c r="AJ73" s="12"/>
      <c r="AK73" s="12"/>
      <c r="AL73" s="10"/>
      <c r="AM73" s="10"/>
      <c r="AN73" s="10"/>
      <c r="AO73" s="10"/>
      <c r="AP73" s="10"/>
    </row>
    <row r="74" spans="1:42" x14ac:dyDescent="0.2">
      <c r="A74" s="34"/>
      <c r="B74" s="10"/>
      <c r="C74" s="10"/>
      <c r="D74" s="10"/>
      <c r="E74" s="14"/>
      <c r="F74" s="10"/>
      <c r="G74" s="10"/>
      <c r="H74" s="10"/>
      <c r="I74" s="10"/>
      <c r="J74" s="14"/>
      <c r="K74" s="10" t="s">
        <v>782</v>
      </c>
      <c r="L74" s="10" t="s">
        <v>783</v>
      </c>
      <c r="M74" s="10" t="s">
        <v>788</v>
      </c>
      <c r="N74" s="10" t="s">
        <v>789</v>
      </c>
      <c r="O74" s="10" t="s">
        <v>790</v>
      </c>
      <c r="P74" s="15" t="s">
        <v>791</v>
      </c>
      <c r="Q74" s="10"/>
      <c r="R74" s="10"/>
      <c r="S74" s="10"/>
      <c r="T74" s="10"/>
      <c r="U74" s="11"/>
      <c r="V74" s="10"/>
      <c r="W74" s="10"/>
      <c r="X74" s="10"/>
      <c r="Y74" s="10"/>
      <c r="Z74" s="10"/>
      <c r="AA74" s="10"/>
      <c r="AB74" s="10"/>
      <c r="AC74" s="11"/>
      <c r="AD74" s="10"/>
      <c r="AE74" s="10"/>
      <c r="AF74" s="10"/>
      <c r="AG74" s="10"/>
      <c r="AH74" s="10"/>
      <c r="AI74" s="12"/>
      <c r="AJ74" s="12"/>
      <c r="AK74" s="12"/>
      <c r="AL74" s="10"/>
      <c r="AM74" s="10"/>
      <c r="AN74" s="10"/>
      <c r="AO74" s="10"/>
      <c r="AP74" s="10"/>
    </row>
    <row r="75" spans="1:42" x14ac:dyDescent="0.2">
      <c r="A75" s="31" t="s">
        <v>178</v>
      </c>
      <c r="B75" s="29" t="s">
        <v>338</v>
      </c>
      <c r="C75" s="27" t="s">
        <v>179</v>
      </c>
      <c r="D75" s="27" t="s">
        <v>180</v>
      </c>
      <c r="E75" s="30" t="s">
        <v>106</v>
      </c>
      <c r="F75" s="7"/>
      <c r="G75" s="27" t="s">
        <v>341</v>
      </c>
      <c r="H75" s="27" t="s">
        <v>343</v>
      </c>
      <c r="I75" s="7" t="s">
        <v>344</v>
      </c>
      <c r="J75" s="8" t="s">
        <v>137</v>
      </c>
      <c r="K75" s="7" t="s">
        <v>768</v>
      </c>
      <c r="L75" s="7" t="s">
        <v>792</v>
      </c>
      <c r="M75" s="7" t="s">
        <v>793</v>
      </c>
      <c r="N75" s="7" t="s">
        <v>794</v>
      </c>
      <c r="O75" s="7" t="s">
        <v>795</v>
      </c>
      <c r="P75" s="9" t="s">
        <v>796</v>
      </c>
      <c r="Q75" s="10"/>
      <c r="R75" s="10" t="s">
        <v>182</v>
      </c>
      <c r="S75" s="10">
        <v>2016</v>
      </c>
      <c r="T75" s="10">
        <f>2026-S75</f>
        <v>10</v>
      </c>
      <c r="U75" s="11"/>
      <c r="V75" s="10" t="s">
        <v>183</v>
      </c>
      <c r="W75" s="10" t="s">
        <v>46</v>
      </c>
      <c r="X75" s="10" t="s">
        <v>184</v>
      </c>
      <c r="Y75" s="10" t="s">
        <v>185</v>
      </c>
      <c r="Z75" s="10" t="s">
        <v>186</v>
      </c>
      <c r="AA75" s="10" t="s">
        <v>189</v>
      </c>
      <c r="AB75" s="10"/>
      <c r="AC75" s="16"/>
      <c r="AD75" s="10" t="s">
        <v>52</v>
      </c>
      <c r="AE75" s="10" t="s">
        <v>191</v>
      </c>
      <c r="AF75" s="10"/>
      <c r="AG75" s="10" t="s">
        <v>192</v>
      </c>
      <c r="AH75" s="10" t="s">
        <v>193</v>
      </c>
      <c r="AI75" s="12">
        <v>3038747.33</v>
      </c>
      <c r="AJ75" s="12" t="str">
        <f>AH75</f>
        <v>EUR</v>
      </c>
      <c r="AK75" s="12">
        <f>AI75/3939</f>
        <v>771.45146737750702</v>
      </c>
      <c r="AL75" s="10" t="s">
        <v>181</v>
      </c>
      <c r="AM75" s="10" t="s">
        <v>194</v>
      </c>
      <c r="AN75" s="10" t="s">
        <v>195</v>
      </c>
      <c r="AO75" s="10"/>
      <c r="AP75" s="10"/>
    </row>
    <row r="76" spans="1:42" x14ac:dyDescent="0.2">
      <c r="A76" s="32"/>
      <c r="B76" s="24"/>
      <c r="C76" s="24"/>
      <c r="D76" s="24"/>
      <c r="E76" s="24"/>
      <c r="F76" s="14"/>
      <c r="G76" s="24"/>
      <c r="H76" s="24"/>
      <c r="I76" s="10" t="s">
        <v>347</v>
      </c>
      <c r="J76" s="14" t="s">
        <v>267</v>
      </c>
      <c r="K76" s="10" t="s">
        <v>768</v>
      </c>
      <c r="L76" s="10" t="s">
        <v>797</v>
      </c>
      <c r="M76" s="10" t="s">
        <v>798</v>
      </c>
      <c r="N76" s="10" t="s">
        <v>799</v>
      </c>
      <c r="O76" s="10" t="s">
        <v>800</v>
      </c>
      <c r="P76" s="15" t="s">
        <v>801</v>
      </c>
      <c r="Q76" s="10"/>
      <c r="R76" s="10"/>
      <c r="S76" s="10"/>
      <c r="T76" s="10"/>
      <c r="U76" s="11"/>
      <c r="V76" s="10"/>
      <c r="W76" s="10"/>
      <c r="X76" s="10"/>
      <c r="Y76" s="10"/>
      <c r="Z76" s="10"/>
      <c r="AA76" s="10"/>
      <c r="AB76" s="10"/>
      <c r="AC76" s="11"/>
      <c r="AD76" s="10"/>
      <c r="AE76" s="10"/>
      <c r="AF76" s="10"/>
      <c r="AG76" s="10"/>
      <c r="AH76" s="10"/>
      <c r="AI76" s="12"/>
      <c r="AJ76" s="12"/>
      <c r="AK76" s="12"/>
      <c r="AL76" s="10"/>
      <c r="AM76" s="10"/>
      <c r="AN76" s="10"/>
      <c r="AO76" s="10"/>
      <c r="AP76" s="10"/>
    </row>
    <row r="77" spans="1:42" x14ac:dyDescent="0.2">
      <c r="A77" s="33"/>
      <c r="B77" s="24"/>
      <c r="C77" s="24"/>
      <c r="D77" s="24"/>
      <c r="E77" s="24"/>
      <c r="F77" s="14"/>
      <c r="G77" s="25" t="s">
        <v>350</v>
      </c>
      <c r="H77" s="25" t="s">
        <v>351</v>
      </c>
      <c r="I77" s="10" t="s">
        <v>352</v>
      </c>
      <c r="J77" s="14" t="s">
        <v>217</v>
      </c>
      <c r="K77" s="10" t="s">
        <v>768</v>
      </c>
      <c r="L77" s="10" t="s">
        <v>802</v>
      </c>
      <c r="M77" s="10" t="s">
        <v>803</v>
      </c>
      <c r="N77" s="10" t="s">
        <v>804</v>
      </c>
      <c r="O77" s="10" t="s">
        <v>805</v>
      </c>
      <c r="P77" s="15" t="s">
        <v>806</v>
      </c>
      <c r="Q77" s="10"/>
      <c r="R77" s="10"/>
      <c r="S77" s="10"/>
      <c r="T77" s="10">
        <f>2026-S77</f>
        <v>2026</v>
      </c>
      <c r="U77" s="11"/>
      <c r="V77" s="10"/>
      <c r="W77" s="10"/>
      <c r="X77" s="10"/>
      <c r="Y77" s="10"/>
      <c r="Z77" s="10"/>
      <c r="AA77" s="10"/>
      <c r="AB77" s="10"/>
      <c r="AC77" s="16"/>
      <c r="AD77" s="10"/>
      <c r="AE77" s="10"/>
      <c r="AF77" s="10"/>
      <c r="AG77" s="10"/>
      <c r="AH77" s="10"/>
      <c r="AI77" s="12"/>
      <c r="AJ77" s="12">
        <f>AH77</f>
        <v>0</v>
      </c>
      <c r="AK77" s="12">
        <f>AI77/3939</f>
        <v>0</v>
      </c>
      <c r="AL77" s="10"/>
      <c r="AM77" s="10"/>
      <c r="AN77" s="10"/>
      <c r="AO77" s="10"/>
      <c r="AP77" s="10"/>
    </row>
    <row r="78" spans="1:42" x14ac:dyDescent="0.2">
      <c r="A78" s="32"/>
      <c r="B78" s="24"/>
      <c r="C78" s="24"/>
      <c r="D78" s="24"/>
      <c r="E78" s="24"/>
      <c r="F78" s="14"/>
      <c r="G78" s="24"/>
      <c r="H78" s="24"/>
      <c r="I78" s="10" t="s">
        <v>358</v>
      </c>
      <c r="J78" s="14" t="s">
        <v>217</v>
      </c>
      <c r="K78" s="10" t="s">
        <v>768</v>
      </c>
      <c r="L78" s="10" t="s">
        <v>807</v>
      </c>
      <c r="M78" s="10" t="s">
        <v>808</v>
      </c>
      <c r="N78" s="10" t="s">
        <v>809</v>
      </c>
      <c r="O78" s="10" t="s">
        <v>810</v>
      </c>
      <c r="P78" s="15" t="s">
        <v>811</v>
      </c>
      <c r="Q78" s="10"/>
      <c r="R78" s="10"/>
      <c r="S78" s="10"/>
      <c r="T78" s="10"/>
      <c r="U78" s="11"/>
      <c r="V78" s="10"/>
      <c r="W78" s="10"/>
      <c r="X78" s="10"/>
      <c r="Y78" s="10"/>
      <c r="Z78" s="10"/>
      <c r="AA78" s="10"/>
      <c r="AB78" s="10"/>
      <c r="AC78" s="11"/>
      <c r="AD78" s="10"/>
      <c r="AE78" s="10"/>
      <c r="AF78" s="10"/>
      <c r="AG78" s="10"/>
      <c r="AH78" s="10"/>
      <c r="AI78" s="12"/>
      <c r="AJ78" s="12"/>
      <c r="AK78" s="12"/>
      <c r="AL78" s="10"/>
      <c r="AM78" s="10"/>
      <c r="AN78" s="10"/>
      <c r="AO78" s="10"/>
      <c r="AP78" s="10"/>
    </row>
    <row r="79" spans="1:42" x14ac:dyDescent="0.2">
      <c r="A79" s="33"/>
      <c r="B79" s="24"/>
      <c r="C79" s="24"/>
      <c r="D79" s="24"/>
      <c r="E79" s="24"/>
      <c r="F79" s="14"/>
      <c r="G79" s="25" t="s">
        <v>361</v>
      </c>
      <c r="H79" s="25" t="s">
        <v>362</v>
      </c>
      <c r="I79" s="10" t="s">
        <v>364</v>
      </c>
      <c r="J79" s="14" t="s">
        <v>60</v>
      </c>
      <c r="K79" s="10" t="s">
        <v>768</v>
      </c>
      <c r="L79" s="10" t="s">
        <v>812</v>
      </c>
      <c r="M79" s="10" t="s">
        <v>813</v>
      </c>
      <c r="N79" s="10" t="s">
        <v>814</v>
      </c>
      <c r="O79" s="10" t="s">
        <v>815</v>
      </c>
      <c r="P79" s="15" t="s">
        <v>816</v>
      </c>
      <c r="Q79" s="10"/>
      <c r="R79" s="10"/>
      <c r="S79" s="10"/>
      <c r="T79" s="10">
        <f>2026-S79</f>
        <v>2026</v>
      </c>
      <c r="U79" s="11"/>
      <c r="V79" s="10"/>
      <c r="W79" s="10"/>
      <c r="X79" s="10"/>
      <c r="Y79" s="10"/>
      <c r="Z79" s="10"/>
      <c r="AA79" s="10"/>
      <c r="AB79" s="10"/>
      <c r="AC79" s="16"/>
      <c r="AD79" s="10"/>
      <c r="AE79" s="10"/>
      <c r="AF79" s="10"/>
      <c r="AG79" s="10"/>
      <c r="AH79" s="10"/>
      <c r="AI79" s="12"/>
      <c r="AJ79" s="12">
        <f>AH79</f>
        <v>0</v>
      </c>
      <c r="AK79" s="12">
        <f>AI79/3939</f>
        <v>0</v>
      </c>
      <c r="AL79" s="10"/>
      <c r="AM79" s="10"/>
      <c r="AN79" s="10"/>
      <c r="AO79" s="10"/>
      <c r="AP79" s="10"/>
    </row>
    <row r="80" spans="1:42" x14ac:dyDescent="0.2">
      <c r="A80" s="32"/>
      <c r="B80" s="24"/>
      <c r="C80" s="24"/>
      <c r="D80" s="24"/>
      <c r="E80" s="24"/>
      <c r="F80" s="14"/>
      <c r="G80" s="24"/>
      <c r="H80" s="24"/>
      <c r="I80" s="10" t="s">
        <v>372</v>
      </c>
      <c r="J80" s="14" t="s">
        <v>373</v>
      </c>
      <c r="K80" s="10" t="s">
        <v>817</v>
      </c>
      <c r="L80" s="10" t="s">
        <v>818</v>
      </c>
      <c r="M80" s="10" t="s">
        <v>819</v>
      </c>
      <c r="N80" s="10" t="s">
        <v>820</v>
      </c>
      <c r="O80" s="10" t="s">
        <v>821</v>
      </c>
      <c r="P80" s="15" t="s">
        <v>822</v>
      </c>
      <c r="Q80" s="10"/>
      <c r="R80" s="10"/>
      <c r="S80" s="10"/>
      <c r="T80" s="10"/>
      <c r="U80" s="11"/>
      <c r="V80" s="10"/>
      <c r="W80" s="10"/>
      <c r="X80" s="10"/>
      <c r="Y80" s="10"/>
      <c r="Z80" s="10"/>
      <c r="AA80" s="10"/>
      <c r="AB80" s="10"/>
      <c r="AC80" s="11"/>
      <c r="AD80" s="10"/>
      <c r="AE80" s="10"/>
      <c r="AF80" s="10"/>
      <c r="AG80" s="10"/>
      <c r="AH80" s="10"/>
      <c r="AI80" s="12"/>
      <c r="AJ80" s="12"/>
      <c r="AK80" s="12"/>
      <c r="AL80" s="10"/>
      <c r="AM80" s="10"/>
      <c r="AN80" s="10"/>
      <c r="AO80" s="10"/>
      <c r="AP80" s="10"/>
    </row>
    <row r="81" spans="1:42" x14ac:dyDescent="0.2">
      <c r="A81" s="33"/>
      <c r="B81" s="13"/>
      <c r="C81" s="10"/>
      <c r="D81" s="10"/>
      <c r="E81" s="14"/>
      <c r="F81" s="14"/>
      <c r="G81" s="10"/>
      <c r="H81" s="10"/>
      <c r="I81" s="10"/>
      <c r="J81" s="14"/>
      <c r="K81" s="10" t="s">
        <v>817</v>
      </c>
      <c r="L81" s="10" t="s">
        <v>823</v>
      </c>
      <c r="M81" s="10" t="s">
        <v>824</v>
      </c>
      <c r="N81" s="10" t="s">
        <v>825</v>
      </c>
      <c r="O81" s="10" t="s">
        <v>826</v>
      </c>
      <c r="P81" s="15" t="s">
        <v>827</v>
      </c>
      <c r="Q81" s="10"/>
      <c r="R81" s="10"/>
      <c r="S81" s="10"/>
      <c r="T81" s="10"/>
      <c r="U81" s="11"/>
      <c r="V81" s="10"/>
      <c r="W81" s="10"/>
      <c r="X81" s="10"/>
      <c r="Y81" s="10"/>
      <c r="Z81" s="10"/>
      <c r="AA81" s="10"/>
      <c r="AB81" s="10"/>
      <c r="AC81" s="16"/>
      <c r="AD81" s="10"/>
      <c r="AE81" s="10"/>
      <c r="AF81" s="10"/>
      <c r="AG81" s="10"/>
      <c r="AH81" s="10"/>
      <c r="AI81" s="12"/>
      <c r="AJ81" s="12"/>
      <c r="AK81" s="12"/>
      <c r="AL81" s="10"/>
      <c r="AM81" s="10"/>
      <c r="AN81" s="10"/>
      <c r="AO81" s="10"/>
      <c r="AP81" s="10"/>
    </row>
    <row r="82" spans="1:42" x14ac:dyDescent="0.2">
      <c r="A82" s="32"/>
      <c r="B82" s="13"/>
      <c r="C82" s="10"/>
      <c r="D82" s="10"/>
      <c r="E82" s="14"/>
      <c r="F82" s="14"/>
      <c r="G82" s="10"/>
      <c r="H82" s="10"/>
      <c r="I82" s="10"/>
      <c r="J82" s="14"/>
      <c r="K82" s="10" t="s">
        <v>828</v>
      </c>
      <c r="L82" s="10" t="s">
        <v>829</v>
      </c>
      <c r="M82" s="10" t="s">
        <v>830</v>
      </c>
      <c r="N82" s="10" t="s">
        <v>831</v>
      </c>
      <c r="O82" s="10" t="s">
        <v>832</v>
      </c>
      <c r="P82" s="15" t="s">
        <v>833</v>
      </c>
      <c r="Q82" s="10"/>
      <c r="R82" s="10"/>
      <c r="S82" s="10"/>
      <c r="T82" s="10"/>
      <c r="U82" s="11"/>
      <c r="V82" s="10"/>
      <c r="W82" s="10"/>
      <c r="X82" s="10"/>
      <c r="Y82" s="10"/>
      <c r="Z82" s="10"/>
      <c r="AA82" s="10"/>
      <c r="AB82" s="10"/>
      <c r="AC82" s="11"/>
      <c r="AD82" s="10"/>
      <c r="AE82" s="10"/>
      <c r="AF82" s="10"/>
      <c r="AG82" s="10"/>
      <c r="AH82" s="10"/>
      <c r="AI82" s="12"/>
      <c r="AJ82" s="12"/>
      <c r="AK82" s="12"/>
      <c r="AL82" s="10"/>
      <c r="AM82" s="10"/>
      <c r="AN82" s="10"/>
      <c r="AO82" s="10"/>
      <c r="AP82" s="10"/>
    </row>
    <row r="83" spans="1:42" x14ac:dyDescent="0.2">
      <c r="A83" s="36"/>
      <c r="B83" s="17"/>
      <c r="C83" s="18"/>
      <c r="D83" s="18"/>
      <c r="E83" s="19"/>
      <c r="F83" s="19"/>
      <c r="G83" s="18"/>
      <c r="H83" s="18"/>
      <c r="I83" s="18"/>
      <c r="J83" s="19"/>
      <c r="K83" s="18" t="s">
        <v>828</v>
      </c>
      <c r="L83" s="18" t="s">
        <v>834</v>
      </c>
      <c r="M83" s="18" t="s">
        <v>835</v>
      </c>
      <c r="N83" s="18" t="s">
        <v>836</v>
      </c>
      <c r="O83" s="18" t="s">
        <v>837</v>
      </c>
      <c r="P83" s="20" t="s">
        <v>838</v>
      </c>
      <c r="Q83" s="10"/>
      <c r="R83" s="10"/>
      <c r="S83" s="10"/>
      <c r="T83" s="10"/>
      <c r="U83" s="11"/>
      <c r="V83" s="10"/>
      <c r="W83" s="10"/>
      <c r="X83" s="10"/>
      <c r="Y83" s="10"/>
      <c r="Z83" s="10"/>
      <c r="AA83" s="10"/>
      <c r="AB83" s="10"/>
      <c r="AC83" s="16"/>
      <c r="AD83" s="10"/>
      <c r="AE83" s="10"/>
      <c r="AF83" s="10"/>
      <c r="AG83" s="10"/>
      <c r="AH83" s="10"/>
      <c r="AI83" s="12"/>
      <c r="AJ83" s="12"/>
      <c r="AK83" s="12"/>
      <c r="AL83" s="10"/>
      <c r="AM83" s="10"/>
      <c r="AN83" s="10"/>
      <c r="AO83" s="10"/>
      <c r="AP83" s="10"/>
    </row>
    <row r="84" spans="1:42" x14ac:dyDescent="0.2">
      <c r="A84" s="25" t="s">
        <v>315</v>
      </c>
      <c r="B84" s="25" t="s">
        <v>378</v>
      </c>
      <c r="C84" s="25" t="s">
        <v>319</v>
      </c>
      <c r="D84" s="25" t="s">
        <v>320</v>
      </c>
      <c r="E84" s="35" t="s">
        <v>38</v>
      </c>
      <c r="F84" s="14"/>
      <c r="G84" s="10" t="s">
        <v>380</v>
      </c>
      <c r="H84" s="10" t="s">
        <v>381</v>
      </c>
      <c r="I84" s="10" t="s">
        <v>383</v>
      </c>
      <c r="J84" s="14" t="s">
        <v>73</v>
      </c>
      <c r="K84" s="25" t="s">
        <v>252</v>
      </c>
      <c r="L84" s="10"/>
      <c r="M84" s="10"/>
      <c r="N84" s="10"/>
      <c r="O84" s="10"/>
      <c r="P84" s="10"/>
      <c r="Q84" s="10"/>
      <c r="R84" s="10" t="s">
        <v>141</v>
      </c>
      <c r="S84" s="10">
        <v>2021</v>
      </c>
      <c r="T84" s="10">
        <f t="shared" ref="T84:T86" si="9">2026-S84</f>
        <v>5</v>
      </c>
      <c r="U84" s="11"/>
      <c r="V84" s="10" t="s">
        <v>321</v>
      </c>
      <c r="W84" s="10" t="s">
        <v>276</v>
      </c>
      <c r="X84" s="10" t="s">
        <v>325</v>
      </c>
      <c r="Y84" s="10" t="s">
        <v>326</v>
      </c>
      <c r="Z84" s="10" t="s">
        <v>327</v>
      </c>
      <c r="AA84" s="10" t="s">
        <v>328</v>
      </c>
      <c r="AB84" s="10" t="s">
        <v>231</v>
      </c>
      <c r="AC84" s="11"/>
      <c r="AD84" s="10" t="s">
        <v>52</v>
      </c>
      <c r="AE84" s="10" t="s">
        <v>329</v>
      </c>
      <c r="AF84" s="10" t="s">
        <v>330</v>
      </c>
      <c r="AG84" s="10"/>
      <c r="AH84" s="10" t="s">
        <v>130</v>
      </c>
      <c r="AI84" s="12">
        <v>3500000</v>
      </c>
      <c r="AJ84" s="12" t="str">
        <f t="shared" ref="AJ84:AJ86" si="10">AH84</f>
        <v>BOB</v>
      </c>
      <c r="AK84" s="12">
        <f t="shared" ref="AK84:AK86" si="11">AI84/1278</f>
        <v>2738.6541471048513</v>
      </c>
      <c r="AL84" s="10" t="s">
        <v>334</v>
      </c>
      <c r="AM84" s="10" t="s">
        <v>335</v>
      </c>
      <c r="AN84" s="10" t="s">
        <v>336</v>
      </c>
      <c r="AO84" s="10"/>
      <c r="AP84" s="10"/>
    </row>
    <row r="85" spans="1:42" x14ac:dyDescent="0.2">
      <c r="A85" s="24"/>
      <c r="B85" s="24"/>
      <c r="C85" s="24"/>
      <c r="D85" s="24"/>
      <c r="E85" s="24"/>
      <c r="F85" s="14"/>
      <c r="G85" s="10" t="s">
        <v>390</v>
      </c>
      <c r="H85" s="10" t="s">
        <v>391</v>
      </c>
      <c r="I85" s="10" t="s">
        <v>392</v>
      </c>
      <c r="J85" s="14" t="s">
        <v>137</v>
      </c>
      <c r="K85" s="24"/>
      <c r="L85" s="10"/>
      <c r="M85" s="10"/>
      <c r="N85" s="10"/>
      <c r="O85" s="10"/>
      <c r="P85" s="10"/>
      <c r="Q85" s="10"/>
      <c r="R85" s="10"/>
      <c r="S85" s="10"/>
      <c r="T85" s="10">
        <f t="shared" si="9"/>
        <v>2026</v>
      </c>
      <c r="U85" s="11"/>
      <c r="V85" s="10"/>
      <c r="W85" s="10"/>
      <c r="X85" s="10"/>
      <c r="Y85" s="10"/>
      <c r="Z85" s="10"/>
      <c r="AA85" s="10"/>
      <c r="AB85" s="10"/>
      <c r="AC85" s="16"/>
      <c r="AD85" s="10"/>
      <c r="AE85" s="10"/>
      <c r="AF85" s="10"/>
      <c r="AG85" s="10"/>
      <c r="AH85" s="10"/>
      <c r="AI85" s="12"/>
      <c r="AJ85" s="12">
        <f t="shared" si="10"/>
        <v>0</v>
      </c>
      <c r="AK85" s="12">
        <f t="shared" si="11"/>
        <v>0</v>
      </c>
      <c r="AL85" s="10"/>
      <c r="AM85" s="10"/>
      <c r="AN85" s="10"/>
      <c r="AO85" s="10"/>
      <c r="AP85" s="10"/>
    </row>
    <row r="86" spans="1:42" x14ac:dyDescent="0.2">
      <c r="A86" s="24"/>
      <c r="B86" s="24"/>
      <c r="C86" s="24"/>
      <c r="D86" s="24"/>
      <c r="E86" s="24"/>
      <c r="F86" s="10"/>
      <c r="G86" s="25" t="s">
        <v>396</v>
      </c>
      <c r="H86" s="25" t="s">
        <v>397</v>
      </c>
      <c r="I86" s="10" t="s">
        <v>398</v>
      </c>
      <c r="J86" s="14" t="s">
        <v>42</v>
      </c>
      <c r="K86" s="24"/>
      <c r="L86" s="10"/>
      <c r="M86" s="10"/>
      <c r="N86" s="10"/>
      <c r="O86" s="10"/>
      <c r="P86" s="10"/>
      <c r="Q86" s="10"/>
      <c r="R86" s="10"/>
      <c r="S86" s="10"/>
      <c r="T86" s="10">
        <f t="shared" si="9"/>
        <v>2026</v>
      </c>
      <c r="U86" s="11"/>
      <c r="V86" s="10"/>
      <c r="W86" s="10"/>
      <c r="X86" s="10"/>
      <c r="Y86" s="10"/>
      <c r="Z86" s="10"/>
      <c r="AA86" s="10"/>
      <c r="AB86" s="10"/>
      <c r="AC86" s="11"/>
      <c r="AD86" s="10"/>
      <c r="AE86" s="10"/>
      <c r="AF86" s="10"/>
      <c r="AG86" s="10"/>
      <c r="AH86" s="10"/>
      <c r="AI86" s="12"/>
      <c r="AJ86" s="12">
        <f t="shared" si="10"/>
        <v>0</v>
      </c>
      <c r="AK86" s="12">
        <f t="shared" si="11"/>
        <v>0</v>
      </c>
      <c r="AL86" s="10"/>
      <c r="AM86" s="10"/>
      <c r="AN86" s="10"/>
      <c r="AO86" s="10"/>
      <c r="AP86" s="10"/>
    </row>
    <row r="87" spans="1:42" x14ac:dyDescent="0.2">
      <c r="A87" s="24"/>
      <c r="B87" s="24"/>
      <c r="C87" s="24"/>
      <c r="D87" s="24"/>
      <c r="E87" s="24"/>
      <c r="F87" s="10"/>
      <c r="G87" s="24"/>
      <c r="H87" s="24"/>
      <c r="I87" s="10" t="s">
        <v>402</v>
      </c>
      <c r="J87" s="14" t="s">
        <v>267</v>
      </c>
      <c r="K87" s="24"/>
      <c r="L87" s="10"/>
      <c r="M87" s="10"/>
      <c r="N87" s="10"/>
      <c r="O87" s="10"/>
      <c r="P87" s="10"/>
      <c r="Q87" s="10"/>
      <c r="R87" s="10"/>
      <c r="S87" s="10"/>
      <c r="T87" s="10"/>
      <c r="U87" s="11"/>
      <c r="V87" s="10"/>
      <c r="W87" s="10"/>
      <c r="X87" s="10"/>
      <c r="Y87" s="10"/>
      <c r="Z87" s="10"/>
      <c r="AA87" s="10"/>
      <c r="AB87" s="10"/>
      <c r="AC87" s="16"/>
      <c r="AD87" s="10"/>
      <c r="AE87" s="10"/>
      <c r="AF87" s="10"/>
      <c r="AG87" s="10"/>
      <c r="AH87" s="10"/>
      <c r="AI87" s="12"/>
      <c r="AJ87" s="12"/>
      <c r="AK87" s="12"/>
      <c r="AL87" s="10"/>
      <c r="AM87" s="10"/>
      <c r="AN87" s="10"/>
      <c r="AO87" s="10"/>
      <c r="AP87" s="10"/>
    </row>
    <row r="88" spans="1:42" x14ac:dyDescent="0.2">
      <c r="A88" s="25" t="s">
        <v>238</v>
      </c>
      <c r="B88" s="25" t="s">
        <v>404</v>
      </c>
      <c r="C88" s="25" t="s">
        <v>240</v>
      </c>
      <c r="D88" s="25" t="s">
        <v>245</v>
      </c>
      <c r="E88" s="35" t="s">
        <v>407</v>
      </c>
      <c r="F88" s="10"/>
      <c r="G88" s="25" t="s">
        <v>408</v>
      </c>
      <c r="H88" s="25" t="s">
        <v>409</v>
      </c>
      <c r="I88" s="10" t="s">
        <v>410</v>
      </c>
      <c r="J88" s="14" t="s">
        <v>66</v>
      </c>
      <c r="K88" s="25" t="s">
        <v>252</v>
      </c>
      <c r="L88" s="10"/>
      <c r="M88" s="10"/>
      <c r="N88" s="10"/>
      <c r="O88" s="10"/>
      <c r="P88" s="10"/>
      <c r="Q88" s="10"/>
      <c r="R88" s="10" t="s">
        <v>141</v>
      </c>
      <c r="S88" s="10">
        <v>2017</v>
      </c>
      <c r="T88" s="10">
        <v>9</v>
      </c>
      <c r="U88" s="11"/>
      <c r="V88" s="10" t="s">
        <v>246</v>
      </c>
      <c r="W88" s="10" t="s">
        <v>116</v>
      </c>
      <c r="X88" s="10" t="s">
        <v>247</v>
      </c>
      <c r="Y88" s="10" t="s">
        <v>248</v>
      </c>
      <c r="Z88" s="10" t="s">
        <v>249</v>
      </c>
      <c r="AA88" s="10" t="s">
        <v>50</v>
      </c>
      <c r="AB88" s="10" t="s">
        <v>250</v>
      </c>
      <c r="AC88" s="11"/>
      <c r="AD88" s="10" t="s">
        <v>52</v>
      </c>
      <c r="AE88" s="10"/>
      <c r="AF88" s="10" t="s">
        <v>255</v>
      </c>
      <c r="AG88" s="10" t="s">
        <v>256</v>
      </c>
      <c r="AH88" s="10" t="s">
        <v>130</v>
      </c>
      <c r="AI88" s="12">
        <v>360082</v>
      </c>
      <c r="AJ88" s="12" t="str">
        <f>AH88</f>
        <v>BOB</v>
      </c>
      <c r="AK88" s="12">
        <f>AI88/15111</f>
        <v>23.829131096552182</v>
      </c>
      <c r="AL88" s="10" t="s">
        <v>234</v>
      </c>
      <c r="AM88" s="10" t="s">
        <v>258</v>
      </c>
      <c r="AN88" s="10" t="s">
        <v>259</v>
      </c>
      <c r="AO88" s="10"/>
      <c r="AP88" s="10"/>
    </row>
    <row r="89" spans="1:42" x14ac:dyDescent="0.2">
      <c r="A89" s="24"/>
      <c r="B89" s="24"/>
      <c r="C89" s="24"/>
      <c r="D89" s="24"/>
      <c r="E89" s="24"/>
      <c r="F89" s="10"/>
      <c r="G89" s="24"/>
      <c r="H89" s="24"/>
      <c r="I89" s="10" t="s">
        <v>416</v>
      </c>
      <c r="J89" s="14" t="s">
        <v>287</v>
      </c>
      <c r="K89" s="24"/>
      <c r="L89" s="10"/>
      <c r="M89" s="10"/>
      <c r="N89" s="10"/>
      <c r="O89" s="10"/>
      <c r="P89" s="10"/>
      <c r="Q89" s="10"/>
      <c r="R89" s="10"/>
      <c r="S89" s="10"/>
      <c r="T89" s="10"/>
      <c r="U89" s="11"/>
      <c r="V89" s="10"/>
      <c r="W89" s="10"/>
      <c r="X89" s="10"/>
      <c r="Y89" s="10"/>
      <c r="Z89" s="10"/>
      <c r="AA89" s="10"/>
      <c r="AB89" s="10"/>
      <c r="AC89" s="16"/>
      <c r="AD89" s="10"/>
      <c r="AE89" s="10"/>
      <c r="AF89" s="10"/>
      <c r="AG89" s="10"/>
      <c r="AH89" s="10"/>
      <c r="AI89" s="12"/>
      <c r="AJ89" s="12"/>
      <c r="AK89" s="12"/>
      <c r="AL89" s="10"/>
      <c r="AM89" s="10"/>
      <c r="AN89" s="10"/>
      <c r="AO89" s="10"/>
      <c r="AP89" s="10"/>
    </row>
    <row r="90" spans="1:42" x14ac:dyDescent="0.2">
      <c r="A90" s="24"/>
      <c r="B90" s="24"/>
      <c r="C90" s="24"/>
      <c r="D90" s="24"/>
      <c r="E90" s="24"/>
      <c r="F90" s="10"/>
      <c r="G90" s="25" t="s">
        <v>419</v>
      </c>
      <c r="H90" s="25" t="s">
        <v>420</v>
      </c>
      <c r="I90" s="10" t="s">
        <v>422</v>
      </c>
      <c r="J90" s="14" t="s">
        <v>423</v>
      </c>
      <c r="K90" s="24"/>
      <c r="L90" s="10"/>
      <c r="M90" s="10"/>
      <c r="N90" s="10"/>
      <c r="O90" s="10"/>
      <c r="P90" s="10"/>
      <c r="Q90" s="10"/>
      <c r="R90" s="10"/>
      <c r="S90" s="10"/>
      <c r="T90" s="10"/>
      <c r="U90" s="11"/>
      <c r="V90" s="10"/>
      <c r="W90" s="10"/>
      <c r="X90" s="10"/>
      <c r="Y90" s="10"/>
      <c r="Z90" s="10"/>
      <c r="AA90" s="10"/>
      <c r="AB90" s="10"/>
      <c r="AC90" s="11"/>
      <c r="AD90" s="10"/>
      <c r="AE90" s="10"/>
      <c r="AF90" s="10"/>
      <c r="AG90" s="10"/>
      <c r="AH90" s="10"/>
      <c r="AI90" s="12"/>
      <c r="AJ90" s="12">
        <f>AH90</f>
        <v>0</v>
      </c>
      <c r="AK90" s="12">
        <f>AI90/15111</f>
        <v>0</v>
      </c>
      <c r="AL90" s="10"/>
      <c r="AM90" s="10"/>
      <c r="AN90" s="10"/>
      <c r="AO90" s="10"/>
      <c r="AP90" s="10"/>
    </row>
    <row r="91" spans="1:42" x14ac:dyDescent="0.2">
      <c r="A91" s="24"/>
      <c r="B91" s="24"/>
      <c r="C91" s="24"/>
      <c r="D91" s="24"/>
      <c r="E91" s="24"/>
      <c r="F91" s="10"/>
      <c r="G91" s="24"/>
      <c r="H91" s="24"/>
      <c r="I91" s="10" t="s">
        <v>427</v>
      </c>
      <c r="J91" s="14" t="s">
        <v>423</v>
      </c>
      <c r="K91" s="24"/>
      <c r="L91" s="10"/>
      <c r="M91" s="10"/>
      <c r="N91" s="10"/>
      <c r="O91" s="10"/>
      <c r="P91" s="10"/>
      <c r="Q91" s="10"/>
      <c r="R91" s="10"/>
      <c r="S91" s="10"/>
      <c r="T91" s="10"/>
      <c r="U91" s="11"/>
      <c r="V91" s="10"/>
      <c r="W91" s="10"/>
      <c r="X91" s="10"/>
      <c r="Y91" s="10"/>
      <c r="Z91" s="10"/>
      <c r="AA91" s="10"/>
      <c r="AB91" s="10"/>
      <c r="AC91" s="16"/>
      <c r="AD91" s="10"/>
      <c r="AE91" s="10"/>
      <c r="AF91" s="10"/>
      <c r="AG91" s="10"/>
      <c r="AH91" s="10"/>
      <c r="AI91" s="12"/>
      <c r="AJ91" s="12"/>
      <c r="AK91" s="12"/>
      <c r="AL91" s="10"/>
      <c r="AM91" s="10"/>
      <c r="AN91" s="10"/>
      <c r="AO91" s="10"/>
      <c r="AP91" s="10"/>
    </row>
    <row r="92" spans="1:42" x14ac:dyDescent="0.2">
      <c r="A92" s="24"/>
      <c r="B92" s="24"/>
      <c r="C92" s="24"/>
      <c r="D92" s="24"/>
      <c r="E92" s="24"/>
      <c r="F92" s="10"/>
      <c r="G92" s="10" t="s">
        <v>433</v>
      </c>
      <c r="H92" s="10" t="s">
        <v>434</v>
      </c>
      <c r="I92" s="10" t="s">
        <v>436</v>
      </c>
      <c r="J92" s="14" t="s">
        <v>66</v>
      </c>
      <c r="K92" s="24"/>
      <c r="L92" s="10"/>
      <c r="M92" s="10"/>
      <c r="N92" s="10"/>
      <c r="O92" s="10"/>
      <c r="P92" s="10"/>
      <c r="Q92" s="10"/>
      <c r="R92" s="10"/>
      <c r="S92" s="10"/>
      <c r="T92" s="10"/>
      <c r="U92" s="11"/>
      <c r="V92" s="10"/>
      <c r="W92" s="10"/>
      <c r="X92" s="10"/>
      <c r="Y92" s="10"/>
      <c r="Z92" s="10"/>
      <c r="AA92" s="10"/>
      <c r="AB92" s="10"/>
      <c r="AC92" s="11"/>
      <c r="AD92" s="10"/>
      <c r="AE92" s="10"/>
      <c r="AF92" s="10"/>
      <c r="AG92" s="10"/>
      <c r="AH92" s="10"/>
      <c r="AI92" s="12"/>
      <c r="AJ92" s="12">
        <f t="shared" ref="AJ92:AJ94" si="12">AH92</f>
        <v>0</v>
      </c>
      <c r="AK92" s="12">
        <f>AI92/15111</f>
        <v>0</v>
      </c>
      <c r="AL92" s="10"/>
      <c r="AM92" s="10"/>
      <c r="AN92" s="10"/>
      <c r="AO92" s="10"/>
      <c r="AP92" s="10"/>
    </row>
    <row r="93" spans="1:42" x14ac:dyDescent="0.2">
      <c r="A93" s="25" t="s">
        <v>296</v>
      </c>
      <c r="B93" s="25" t="s">
        <v>438</v>
      </c>
      <c r="C93" s="25" t="s">
        <v>297</v>
      </c>
      <c r="D93" s="25" t="s">
        <v>298</v>
      </c>
      <c r="E93" s="35" t="s">
        <v>146</v>
      </c>
      <c r="F93" s="10"/>
      <c r="G93" s="10" t="s">
        <v>441</v>
      </c>
      <c r="H93" s="10" t="s">
        <v>442</v>
      </c>
      <c r="I93" s="10" t="s">
        <v>444</v>
      </c>
      <c r="J93" s="14" t="s">
        <v>217</v>
      </c>
      <c r="K93" s="25" t="s">
        <v>307</v>
      </c>
      <c r="L93" s="10"/>
      <c r="M93" s="10"/>
      <c r="N93" s="10"/>
      <c r="O93" s="10"/>
      <c r="P93" s="10"/>
      <c r="Q93" s="10"/>
      <c r="R93" s="10" t="s">
        <v>299</v>
      </c>
      <c r="S93" s="10">
        <v>2020</v>
      </c>
      <c r="T93" s="10">
        <v>6</v>
      </c>
      <c r="U93" s="11"/>
      <c r="V93" s="10" t="s">
        <v>301</v>
      </c>
      <c r="W93" s="10" t="s">
        <v>276</v>
      </c>
      <c r="X93" s="10" t="s">
        <v>47</v>
      </c>
      <c r="Y93" s="10" t="s">
        <v>302</v>
      </c>
      <c r="Z93" s="10" t="s">
        <v>303</v>
      </c>
      <c r="AA93" s="10" t="s">
        <v>304</v>
      </c>
      <c r="AB93" s="10"/>
      <c r="AC93" s="16"/>
      <c r="AD93" s="10" t="s">
        <v>309</v>
      </c>
      <c r="AE93" s="10" t="s">
        <v>310</v>
      </c>
      <c r="AF93" s="10"/>
      <c r="AG93" s="10" t="s">
        <v>311</v>
      </c>
      <c r="AH93" s="10" t="s">
        <v>55</v>
      </c>
      <c r="AI93" s="12">
        <v>8300000</v>
      </c>
      <c r="AJ93" s="12" t="str">
        <f t="shared" si="12"/>
        <v>USD</v>
      </c>
      <c r="AK93" s="12">
        <f t="shared" ref="AK93:AK94" si="13">AI93/25000</f>
        <v>332</v>
      </c>
      <c r="AL93" s="10" t="s">
        <v>312</v>
      </c>
      <c r="AM93" s="10" t="s">
        <v>301</v>
      </c>
      <c r="AN93" s="10" t="s">
        <v>314</v>
      </c>
      <c r="AO93" s="10"/>
      <c r="AP93" s="10"/>
    </row>
    <row r="94" spans="1:42" x14ac:dyDescent="0.2">
      <c r="A94" s="24"/>
      <c r="B94" s="24"/>
      <c r="C94" s="24"/>
      <c r="D94" s="24"/>
      <c r="E94" s="24"/>
      <c r="F94" s="14"/>
      <c r="G94" s="25" t="s">
        <v>445</v>
      </c>
      <c r="H94" s="25" t="s">
        <v>446</v>
      </c>
      <c r="I94" s="10" t="s">
        <v>447</v>
      </c>
      <c r="J94" s="14" t="s">
        <v>448</v>
      </c>
      <c r="K94" s="24"/>
      <c r="L94" s="10"/>
      <c r="M94" s="10"/>
      <c r="N94" s="10"/>
      <c r="O94" s="10"/>
      <c r="P94" s="10"/>
      <c r="Q94" s="10"/>
      <c r="R94" s="10"/>
      <c r="S94" s="10"/>
      <c r="T94" s="10"/>
      <c r="U94" s="11"/>
      <c r="V94" s="10"/>
      <c r="W94" s="10"/>
      <c r="X94" s="10"/>
      <c r="Y94" s="10"/>
      <c r="Z94" s="10"/>
      <c r="AA94" s="10"/>
      <c r="AB94" s="10"/>
      <c r="AC94" s="11"/>
      <c r="AD94" s="10"/>
      <c r="AE94" s="10"/>
      <c r="AF94" s="10"/>
      <c r="AG94" s="10"/>
      <c r="AH94" s="10"/>
      <c r="AI94" s="12"/>
      <c r="AJ94" s="12">
        <f t="shared" si="12"/>
        <v>0</v>
      </c>
      <c r="AK94" s="12">
        <f t="shared" si="13"/>
        <v>0</v>
      </c>
      <c r="AL94" s="10"/>
      <c r="AM94" s="10"/>
      <c r="AN94" s="10"/>
      <c r="AO94" s="10"/>
      <c r="AP94" s="10"/>
    </row>
    <row r="95" spans="1:42" x14ac:dyDescent="0.2">
      <c r="A95" s="24"/>
      <c r="B95" s="24"/>
      <c r="C95" s="24"/>
      <c r="D95" s="24"/>
      <c r="E95" s="24"/>
      <c r="F95" s="14"/>
      <c r="G95" s="24"/>
      <c r="H95" s="24"/>
      <c r="I95" s="10" t="s">
        <v>449</v>
      </c>
      <c r="J95" s="14" t="s">
        <v>448</v>
      </c>
      <c r="K95" s="24"/>
      <c r="L95" s="10"/>
      <c r="M95" s="10"/>
      <c r="N95" s="10"/>
      <c r="O95" s="10"/>
      <c r="P95" s="10"/>
      <c r="Q95" s="10"/>
      <c r="R95" s="10"/>
      <c r="S95" s="10"/>
      <c r="T95" s="10"/>
      <c r="U95" s="11"/>
      <c r="V95" s="10"/>
      <c r="W95" s="10"/>
      <c r="X95" s="10"/>
      <c r="Y95" s="10"/>
      <c r="Z95" s="10"/>
      <c r="AA95" s="10"/>
      <c r="AB95" s="10"/>
      <c r="AC95" s="16"/>
      <c r="AD95" s="10"/>
      <c r="AE95" s="10"/>
      <c r="AF95" s="10"/>
      <c r="AG95" s="10"/>
      <c r="AH95" s="10"/>
      <c r="AI95" s="12"/>
      <c r="AJ95" s="12"/>
      <c r="AK95" s="12"/>
      <c r="AL95" s="10"/>
      <c r="AM95" s="10"/>
      <c r="AN95" s="10"/>
      <c r="AO95" s="10"/>
      <c r="AP95" s="10"/>
    </row>
    <row r="96" spans="1:42" x14ac:dyDescent="0.2">
      <c r="A96" s="24"/>
      <c r="B96" s="24"/>
      <c r="C96" s="24"/>
      <c r="D96" s="24"/>
      <c r="E96" s="24"/>
      <c r="F96" s="10"/>
      <c r="G96" s="10" t="s">
        <v>454</v>
      </c>
      <c r="H96" s="10" t="s">
        <v>455</v>
      </c>
      <c r="I96" s="10" t="s">
        <v>456</v>
      </c>
      <c r="J96" s="14" t="s">
        <v>457</v>
      </c>
      <c r="K96" s="24"/>
      <c r="L96" s="10"/>
      <c r="M96" s="10"/>
      <c r="N96" s="10"/>
      <c r="O96" s="10"/>
      <c r="P96" s="10"/>
      <c r="Q96" s="10"/>
      <c r="R96" s="10"/>
      <c r="S96" s="10"/>
      <c r="T96" s="10"/>
      <c r="U96" s="11"/>
      <c r="V96" s="10"/>
      <c r="W96" s="10"/>
      <c r="X96" s="10"/>
      <c r="Y96" s="10"/>
      <c r="Z96" s="10"/>
      <c r="AA96" s="10"/>
      <c r="AB96" s="10"/>
      <c r="AC96" s="11"/>
      <c r="AD96" s="10"/>
      <c r="AE96" s="10"/>
      <c r="AF96" s="10"/>
      <c r="AG96" s="10"/>
      <c r="AH96" s="10"/>
      <c r="AI96" s="12"/>
      <c r="AJ96" s="12">
        <f t="shared" ref="AJ96:AJ99" si="14">AH96</f>
        <v>0</v>
      </c>
      <c r="AK96" s="12">
        <f>AI96/25000</f>
        <v>0</v>
      </c>
      <c r="AL96" s="10"/>
      <c r="AM96" s="10"/>
      <c r="AN96" s="10"/>
      <c r="AO96" s="10"/>
      <c r="AP96" s="10"/>
    </row>
    <row r="97" spans="1:42" x14ac:dyDescent="0.2">
      <c r="A97" s="25" t="s">
        <v>355</v>
      </c>
      <c r="B97" s="25" t="s">
        <v>463</v>
      </c>
      <c r="C97" s="25" t="s">
        <v>356</v>
      </c>
      <c r="D97" s="25" t="s">
        <v>357</v>
      </c>
      <c r="E97" s="35" t="s">
        <v>146</v>
      </c>
      <c r="F97" s="14"/>
      <c r="G97" s="10" t="s">
        <v>468</v>
      </c>
      <c r="H97" s="10" t="s">
        <v>469</v>
      </c>
      <c r="I97" s="10" t="s">
        <v>470</v>
      </c>
      <c r="J97" s="14" t="s">
        <v>137</v>
      </c>
      <c r="K97" s="25" t="s">
        <v>367</v>
      </c>
      <c r="L97" s="10"/>
      <c r="M97" s="10"/>
      <c r="N97" s="10"/>
      <c r="O97" s="10"/>
      <c r="P97" s="10"/>
      <c r="Q97" s="10"/>
      <c r="R97" s="10" t="s">
        <v>359</v>
      </c>
      <c r="S97" s="10">
        <v>2023</v>
      </c>
      <c r="T97" s="10">
        <v>3</v>
      </c>
      <c r="U97" s="11"/>
      <c r="V97" s="10" t="s">
        <v>360</v>
      </c>
      <c r="W97" s="10" t="s">
        <v>276</v>
      </c>
      <c r="X97" s="10" t="s">
        <v>363</v>
      </c>
      <c r="Y97" s="10" t="s">
        <v>365</v>
      </c>
      <c r="Z97" s="10" t="s">
        <v>366</v>
      </c>
      <c r="AA97" s="10" t="s">
        <v>366</v>
      </c>
      <c r="AB97" s="10"/>
      <c r="AC97" s="16"/>
      <c r="AD97" s="10" t="s">
        <v>368</v>
      </c>
      <c r="AE97" s="10" t="s">
        <v>369</v>
      </c>
      <c r="AF97" s="10" t="s">
        <v>370</v>
      </c>
      <c r="AG97" s="10" t="s">
        <v>371</v>
      </c>
      <c r="AH97" s="10" t="s">
        <v>130</v>
      </c>
      <c r="AI97" s="12">
        <v>875948799.65999997</v>
      </c>
      <c r="AJ97" s="12" t="str">
        <f t="shared" si="14"/>
        <v>BOB</v>
      </c>
      <c r="AK97" s="12">
        <f t="shared" ref="AK97:AK99" si="15">AI97/247865</f>
        <v>3533.9753481128837</v>
      </c>
      <c r="AL97" s="10" t="s">
        <v>374</v>
      </c>
      <c r="AM97" s="10" t="s">
        <v>375</v>
      </c>
      <c r="AN97" s="10" t="s">
        <v>376</v>
      </c>
      <c r="AO97" s="10"/>
      <c r="AP97" s="10"/>
    </row>
    <row r="98" spans="1:42" x14ac:dyDescent="0.2">
      <c r="A98" s="24"/>
      <c r="B98" s="24"/>
      <c r="C98" s="24"/>
      <c r="D98" s="24"/>
      <c r="E98" s="24"/>
      <c r="F98" s="10"/>
      <c r="G98" s="10" t="s">
        <v>473</v>
      </c>
      <c r="H98" s="10" t="s">
        <v>474</v>
      </c>
      <c r="I98" s="10" t="s">
        <v>476</v>
      </c>
      <c r="J98" s="14" t="s">
        <v>73</v>
      </c>
      <c r="K98" s="24"/>
      <c r="L98" s="10"/>
      <c r="M98" s="10"/>
      <c r="N98" s="10"/>
      <c r="O98" s="10"/>
      <c r="P98" s="10"/>
      <c r="Q98" s="10"/>
      <c r="R98" s="10"/>
      <c r="S98" s="10"/>
      <c r="T98" s="10"/>
      <c r="U98" s="11"/>
      <c r="V98" s="10"/>
      <c r="W98" s="10"/>
      <c r="X98" s="10"/>
      <c r="Y98" s="10"/>
      <c r="Z98" s="10"/>
      <c r="AA98" s="10"/>
      <c r="AB98" s="10"/>
      <c r="AC98" s="11"/>
      <c r="AD98" s="10"/>
      <c r="AE98" s="10"/>
      <c r="AF98" s="10"/>
      <c r="AG98" s="10"/>
      <c r="AH98" s="10"/>
      <c r="AI98" s="12"/>
      <c r="AJ98" s="12">
        <f t="shared" si="14"/>
        <v>0</v>
      </c>
      <c r="AK98" s="12">
        <f t="shared" si="15"/>
        <v>0</v>
      </c>
      <c r="AL98" s="10"/>
      <c r="AM98" s="10"/>
      <c r="AN98" s="10"/>
      <c r="AO98" s="10"/>
      <c r="AP98" s="10"/>
    </row>
    <row r="99" spans="1:42" x14ac:dyDescent="0.2">
      <c r="A99" s="24"/>
      <c r="B99" s="24"/>
      <c r="C99" s="24"/>
      <c r="D99" s="24"/>
      <c r="E99" s="24"/>
      <c r="F99" s="10"/>
      <c r="G99" s="10" t="s">
        <v>477</v>
      </c>
      <c r="H99" s="10" t="s">
        <v>478</v>
      </c>
      <c r="I99" s="10" t="s">
        <v>479</v>
      </c>
      <c r="J99" s="14" t="s">
        <v>150</v>
      </c>
      <c r="K99" s="24"/>
      <c r="L99" s="10"/>
      <c r="M99" s="10"/>
      <c r="N99" s="10"/>
      <c r="O99" s="10"/>
      <c r="P99" s="10"/>
      <c r="Q99" s="10"/>
      <c r="R99" s="10"/>
      <c r="S99" s="10"/>
      <c r="T99" s="10"/>
      <c r="U99" s="11"/>
      <c r="V99" s="10"/>
      <c r="W99" s="10"/>
      <c r="X99" s="10"/>
      <c r="Y99" s="10"/>
      <c r="Z99" s="10"/>
      <c r="AA99" s="10"/>
      <c r="AB99" s="10"/>
      <c r="AC99" s="16"/>
      <c r="AD99" s="10"/>
      <c r="AE99" s="10"/>
      <c r="AF99" s="10"/>
      <c r="AG99" s="10"/>
      <c r="AH99" s="10"/>
      <c r="AI99" s="12"/>
      <c r="AJ99" s="12">
        <f t="shared" si="14"/>
        <v>0</v>
      </c>
      <c r="AK99" s="12">
        <f t="shared" si="15"/>
        <v>0</v>
      </c>
      <c r="AL99" s="10"/>
      <c r="AM99" s="10"/>
      <c r="AN99" s="10"/>
      <c r="AO99" s="10"/>
      <c r="AP99" s="10"/>
    </row>
    <row r="100" spans="1:42" x14ac:dyDescent="0.2">
      <c r="A100" s="25" t="s">
        <v>260</v>
      </c>
      <c r="B100" s="25" t="s">
        <v>480</v>
      </c>
      <c r="C100" s="25" t="s">
        <v>261</v>
      </c>
      <c r="D100" s="25" t="s">
        <v>262</v>
      </c>
      <c r="E100" s="35" t="s">
        <v>38</v>
      </c>
      <c r="F100" s="10"/>
      <c r="G100" s="25" t="s">
        <v>433</v>
      </c>
      <c r="H100" s="25" t="s">
        <v>481</v>
      </c>
      <c r="I100" s="10" t="s">
        <v>482</v>
      </c>
      <c r="J100" s="14" t="s">
        <v>483</v>
      </c>
      <c r="K100" s="25"/>
      <c r="L100" s="10"/>
      <c r="M100" s="10"/>
      <c r="N100" s="10"/>
      <c r="O100" s="10"/>
      <c r="P100" s="10"/>
      <c r="Q100" s="10"/>
      <c r="R100" s="10"/>
      <c r="S100" s="10"/>
      <c r="T100" s="10"/>
      <c r="U100" s="11"/>
      <c r="V100" s="10"/>
      <c r="W100" s="10"/>
      <c r="X100" s="10"/>
      <c r="Y100" s="10"/>
      <c r="Z100" s="10"/>
      <c r="AA100" s="10"/>
      <c r="AB100" s="10"/>
      <c r="AC100" s="11"/>
      <c r="AD100" s="10"/>
      <c r="AE100" s="10"/>
      <c r="AF100" s="10"/>
      <c r="AG100" s="10"/>
      <c r="AH100" s="10"/>
      <c r="AI100" s="12"/>
      <c r="AJ100" s="12"/>
      <c r="AK100" s="12"/>
      <c r="AL100" s="10"/>
      <c r="AM100" s="10"/>
      <c r="AN100" s="10"/>
      <c r="AO100" s="10"/>
      <c r="AP100" s="10"/>
    </row>
    <row r="101" spans="1:42" x14ac:dyDescent="0.2">
      <c r="A101" s="24"/>
      <c r="B101" s="24"/>
      <c r="C101" s="24"/>
      <c r="D101" s="24"/>
      <c r="E101" s="24"/>
      <c r="F101" s="10"/>
      <c r="G101" s="24"/>
      <c r="H101" s="24"/>
      <c r="I101" s="10" t="s">
        <v>484</v>
      </c>
      <c r="J101" s="14" t="s">
        <v>483</v>
      </c>
      <c r="K101" s="24"/>
      <c r="L101" s="10"/>
      <c r="M101" s="10"/>
      <c r="N101" s="10"/>
      <c r="O101" s="10"/>
      <c r="P101" s="10"/>
      <c r="Q101" s="10"/>
      <c r="R101" s="10"/>
      <c r="S101" s="10"/>
      <c r="T101" s="10"/>
      <c r="U101" s="11"/>
      <c r="V101" s="10"/>
      <c r="W101" s="10"/>
      <c r="X101" s="10"/>
      <c r="Y101" s="10"/>
      <c r="Z101" s="10"/>
      <c r="AA101" s="10"/>
      <c r="AB101" s="10"/>
      <c r="AC101" s="16"/>
      <c r="AD101" s="10"/>
      <c r="AE101" s="10"/>
      <c r="AF101" s="10"/>
      <c r="AG101" s="10"/>
      <c r="AH101" s="10"/>
      <c r="AI101" s="12"/>
      <c r="AJ101" s="12"/>
      <c r="AK101" s="12"/>
      <c r="AL101" s="10"/>
      <c r="AM101" s="10"/>
      <c r="AN101" s="10"/>
      <c r="AO101" s="10"/>
      <c r="AP101" s="10"/>
    </row>
    <row r="102" spans="1:42" x14ac:dyDescent="0.2">
      <c r="A102" s="24"/>
      <c r="B102" s="24"/>
      <c r="C102" s="24"/>
      <c r="D102" s="24"/>
      <c r="E102" s="24"/>
      <c r="F102" s="10"/>
      <c r="G102" s="25" t="s">
        <v>485</v>
      </c>
      <c r="H102" s="25" t="s">
        <v>486</v>
      </c>
      <c r="I102" s="10" t="s">
        <v>487</v>
      </c>
      <c r="J102" s="14" t="s">
        <v>483</v>
      </c>
      <c r="K102" s="24"/>
      <c r="L102" s="10"/>
      <c r="M102" s="10"/>
      <c r="N102" s="10"/>
      <c r="O102" s="10"/>
      <c r="P102" s="10"/>
      <c r="Q102" s="10"/>
      <c r="R102" s="10"/>
      <c r="S102" s="10"/>
      <c r="T102" s="10"/>
      <c r="U102" s="11"/>
      <c r="V102" s="10"/>
      <c r="W102" s="10"/>
      <c r="X102" s="10"/>
      <c r="Y102" s="10"/>
      <c r="Z102" s="10"/>
      <c r="AA102" s="10"/>
      <c r="AB102" s="10"/>
      <c r="AC102" s="11"/>
      <c r="AD102" s="10"/>
      <c r="AE102" s="10"/>
      <c r="AF102" s="10"/>
      <c r="AG102" s="10"/>
      <c r="AH102" s="10"/>
      <c r="AI102" s="12"/>
      <c r="AJ102" s="12"/>
      <c r="AK102" s="12"/>
      <c r="AL102" s="10"/>
      <c r="AM102" s="10"/>
      <c r="AN102" s="10"/>
      <c r="AO102" s="10"/>
      <c r="AP102" s="10"/>
    </row>
    <row r="103" spans="1:42" x14ac:dyDescent="0.2">
      <c r="A103" s="24"/>
      <c r="B103" s="24"/>
      <c r="C103" s="24"/>
      <c r="D103" s="24"/>
      <c r="E103" s="24"/>
      <c r="F103" s="14"/>
      <c r="G103" s="24"/>
      <c r="H103" s="24"/>
      <c r="I103" s="10" t="s">
        <v>488</v>
      </c>
      <c r="J103" s="14" t="s">
        <v>373</v>
      </c>
      <c r="K103" s="24"/>
      <c r="L103" s="10"/>
      <c r="M103" s="10"/>
      <c r="N103" s="10"/>
      <c r="O103" s="10"/>
      <c r="P103" s="10"/>
      <c r="Q103" s="10"/>
      <c r="R103" s="10"/>
      <c r="S103" s="10"/>
      <c r="T103" s="10"/>
      <c r="U103" s="11"/>
      <c r="V103" s="10"/>
      <c r="W103" s="10"/>
      <c r="X103" s="10"/>
      <c r="Y103" s="10"/>
      <c r="Z103" s="10"/>
      <c r="AA103" s="10"/>
      <c r="AB103" s="10"/>
      <c r="AC103" s="16"/>
      <c r="AD103" s="10"/>
      <c r="AE103" s="10"/>
      <c r="AF103" s="10"/>
      <c r="AG103" s="10"/>
      <c r="AH103" s="10"/>
      <c r="AI103" s="12"/>
      <c r="AJ103" s="12"/>
      <c r="AK103" s="12"/>
      <c r="AL103" s="10"/>
      <c r="AM103" s="10"/>
      <c r="AN103" s="10"/>
      <c r="AO103" s="10"/>
      <c r="AP103" s="10"/>
    </row>
    <row r="104" spans="1:42" x14ac:dyDescent="0.2">
      <c r="A104" s="24"/>
      <c r="B104" s="24"/>
      <c r="C104" s="24"/>
      <c r="D104" s="24"/>
      <c r="E104" s="24"/>
      <c r="F104" s="14"/>
      <c r="G104" s="25" t="s">
        <v>489</v>
      </c>
      <c r="H104" s="25" t="s">
        <v>490</v>
      </c>
      <c r="I104" s="10" t="s">
        <v>491</v>
      </c>
      <c r="J104" s="14" t="s">
        <v>287</v>
      </c>
      <c r="K104" s="24"/>
      <c r="L104" s="10"/>
      <c r="M104" s="10"/>
      <c r="N104" s="10"/>
      <c r="O104" s="10"/>
      <c r="P104" s="10"/>
      <c r="Q104" s="10"/>
      <c r="R104" s="10"/>
      <c r="S104" s="10"/>
      <c r="T104" s="10"/>
      <c r="U104" s="11"/>
      <c r="V104" s="10"/>
      <c r="W104" s="10"/>
      <c r="X104" s="10"/>
      <c r="Y104" s="10"/>
      <c r="Z104" s="10"/>
      <c r="AA104" s="10"/>
      <c r="AB104" s="10"/>
      <c r="AC104" s="11"/>
      <c r="AD104" s="10"/>
      <c r="AE104" s="10"/>
      <c r="AF104" s="10"/>
      <c r="AG104" s="10"/>
      <c r="AH104" s="10"/>
      <c r="AI104" s="12"/>
      <c r="AJ104" s="12"/>
      <c r="AK104" s="12"/>
      <c r="AL104" s="10"/>
      <c r="AM104" s="10"/>
      <c r="AN104" s="10"/>
      <c r="AO104" s="10"/>
      <c r="AP104" s="10"/>
    </row>
    <row r="105" spans="1:42" x14ac:dyDescent="0.2">
      <c r="A105" s="24"/>
      <c r="B105" s="24"/>
      <c r="C105" s="24"/>
      <c r="D105" s="24"/>
      <c r="E105" s="24"/>
      <c r="F105" s="14"/>
      <c r="G105" s="24"/>
      <c r="H105" s="24"/>
      <c r="I105" s="10" t="s">
        <v>492</v>
      </c>
      <c r="J105" s="14" t="s">
        <v>493</v>
      </c>
      <c r="K105" s="24"/>
      <c r="L105" s="10"/>
      <c r="M105" s="10"/>
      <c r="N105" s="10"/>
      <c r="O105" s="10"/>
      <c r="P105" s="10"/>
      <c r="Q105" s="10"/>
      <c r="R105" s="10"/>
      <c r="S105" s="10"/>
      <c r="T105" s="10"/>
      <c r="U105" s="11"/>
      <c r="V105" s="10"/>
      <c r="W105" s="10"/>
      <c r="X105" s="10"/>
      <c r="Y105" s="10"/>
      <c r="Z105" s="10"/>
      <c r="AA105" s="10"/>
      <c r="AB105" s="10"/>
      <c r="AC105" s="16"/>
      <c r="AD105" s="10"/>
      <c r="AE105" s="10"/>
      <c r="AF105" s="10"/>
      <c r="AG105" s="10"/>
      <c r="AH105" s="10"/>
      <c r="AI105" s="12"/>
      <c r="AJ105" s="12"/>
      <c r="AK105" s="12"/>
      <c r="AL105" s="10"/>
      <c r="AM105" s="10"/>
      <c r="AN105" s="10"/>
      <c r="AO105" s="10"/>
      <c r="AP105" s="10"/>
    </row>
    <row r="106" spans="1:42" x14ac:dyDescent="0.2">
      <c r="A106" s="25" t="s">
        <v>272</v>
      </c>
      <c r="B106" s="25" t="s">
        <v>494</v>
      </c>
      <c r="C106" s="25" t="s">
        <v>273</v>
      </c>
      <c r="D106" s="25" t="s">
        <v>274</v>
      </c>
      <c r="E106" s="35" t="s">
        <v>106</v>
      </c>
      <c r="F106" s="10"/>
      <c r="G106" s="10" t="s">
        <v>495</v>
      </c>
      <c r="H106" s="10" t="s">
        <v>496</v>
      </c>
      <c r="I106" s="10" t="s">
        <v>497</v>
      </c>
      <c r="J106" s="14" t="s">
        <v>111</v>
      </c>
      <c r="K106" s="25" t="s">
        <v>284</v>
      </c>
      <c r="L106" s="10"/>
      <c r="M106" s="10"/>
      <c r="N106" s="10"/>
      <c r="O106" s="10"/>
      <c r="P106" s="10"/>
      <c r="Q106" s="10"/>
      <c r="R106" s="10" t="s">
        <v>275</v>
      </c>
      <c r="S106" s="10">
        <v>2020</v>
      </c>
      <c r="T106" s="10">
        <v>6</v>
      </c>
      <c r="U106" s="11"/>
      <c r="V106" s="10" t="s">
        <v>278</v>
      </c>
      <c r="W106" s="10" t="s">
        <v>276</v>
      </c>
      <c r="X106" s="10" t="s">
        <v>279</v>
      </c>
      <c r="Y106" s="10" t="s">
        <v>280</v>
      </c>
      <c r="Z106" s="10" t="s">
        <v>281</v>
      </c>
      <c r="AA106" s="10" t="s">
        <v>282</v>
      </c>
      <c r="AB106" s="10" t="s">
        <v>283</v>
      </c>
      <c r="AC106" s="11"/>
      <c r="AD106" s="10" t="s">
        <v>285</v>
      </c>
      <c r="AE106" s="10" t="s">
        <v>123</v>
      </c>
      <c r="AF106" s="10"/>
      <c r="AG106" s="10" t="s">
        <v>288</v>
      </c>
      <c r="AH106" s="10" t="s">
        <v>130</v>
      </c>
      <c r="AI106" s="12">
        <v>2393364000</v>
      </c>
      <c r="AJ106" s="12" t="str">
        <f t="shared" ref="AJ106:AJ108" si="16">AH106</f>
        <v>BOB</v>
      </c>
      <c r="AK106" s="12">
        <f t="shared" ref="AK106:AK108" si="17">AI106/6145</f>
        <v>389481.52969894221</v>
      </c>
      <c r="AL106" s="10" t="s">
        <v>289</v>
      </c>
      <c r="AM106" s="10" t="s">
        <v>291</v>
      </c>
      <c r="AN106" s="10" t="s">
        <v>294</v>
      </c>
      <c r="AO106" s="10"/>
      <c r="AP106" s="10"/>
    </row>
    <row r="107" spans="1:42" x14ac:dyDescent="0.2">
      <c r="A107" s="24"/>
      <c r="B107" s="24"/>
      <c r="C107" s="24"/>
      <c r="D107" s="24"/>
      <c r="E107" s="24"/>
      <c r="F107" s="10"/>
      <c r="G107" s="10" t="s">
        <v>498</v>
      </c>
      <c r="H107" s="10" t="s">
        <v>499</v>
      </c>
      <c r="I107" s="10" t="s">
        <v>500</v>
      </c>
      <c r="J107" s="14" t="s">
        <v>129</v>
      </c>
      <c r="K107" s="24"/>
      <c r="L107" s="10"/>
      <c r="M107" s="10"/>
      <c r="N107" s="10"/>
      <c r="O107" s="10"/>
      <c r="P107" s="10"/>
      <c r="Q107" s="10"/>
      <c r="R107" s="10"/>
      <c r="S107" s="10"/>
      <c r="T107" s="10"/>
      <c r="U107" s="11"/>
      <c r="V107" s="10"/>
      <c r="W107" s="10"/>
      <c r="X107" s="10"/>
      <c r="Y107" s="10"/>
      <c r="Z107" s="10"/>
      <c r="AA107" s="10"/>
      <c r="AB107" s="10"/>
      <c r="AC107" s="16"/>
      <c r="AD107" s="10"/>
      <c r="AE107" s="10"/>
      <c r="AF107" s="10"/>
      <c r="AG107" s="10"/>
      <c r="AH107" s="10"/>
      <c r="AI107" s="12"/>
      <c r="AJ107" s="12">
        <f t="shared" si="16"/>
        <v>0</v>
      </c>
      <c r="AK107" s="12">
        <f t="shared" si="17"/>
        <v>0</v>
      </c>
      <c r="AL107" s="10"/>
      <c r="AM107" s="10"/>
      <c r="AN107" s="10"/>
      <c r="AO107" s="10"/>
      <c r="AP107" s="10"/>
    </row>
    <row r="108" spans="1:42" x14ac:dyDescent="0.2">
      <c r="A108" s="24"/>
      <c r="B108" s="24"/>
      <c r="C108" s="24"/>
      <c r="D108" s="24"/>
      <c r="E108" s="24"/>
      <c r="F108" s="10"/>
      <c r="G108" s="25" t="s">
        <v>501</v>
      </c>
      <c r="H108" s="25" t="s">
        <v>502</v>
      </c>
      <c r="I108" s="10" t="s">
        <v>503</v>
      </c>
      <c r="J108" s="14" t="s">
        <v>129</v>
      </c>
      <c r="K108" s="24"/>
      <c r="L108" s="10"/>
      <c r="M108" s="10"/>
      <c r="N108" s="10"/>
      <c r="O108" s="10"/>
      <c r="P108" s="10"/>
      <c r="Q108" s="10"/>
      <c r="R108" s="10"/>
      <c r="S108" s="10"/>
      <c r="T108" s="10"/>
      <c r="U108" s="11"/>
      <c r="V108" s="10"/>
      <c r="W108" s="10"/>
      <c r="X108" s="10"/>
      <c r="Y108" s="10"/>
      <c r="Z108" s="10"/>
      <c r="AA108" s="10"/>
      <c r="AB108" s="10"/>
      <c r="AC108" s="11"/>
      <c r="AD108" s="10"/>
      <c r="AE108" s="10"/>
      <c r="AF108" s="10"/>
      <c r="AG108" s="10"/>
      <c r="AH108" s="10"/>
      <c r="AI108" s="12"/>
      <c r="AJ108" s="12">
        <f t="shared" si="16"/>
        <v>0</v>
      </c>
      <c r="AK108" s="12">
        <f t="shared" si="17"/>
        <v>0</v>
      </c>
      <c r="AL108" s="10"/>
      <c r="AM108" s="10"/>
      <c r="AN108" s="10"/>
      <c r="AO108" s="10"/>
      <c r="AP108" s="10"/>
    </row>
    <row r="109" spans="1:42" x14ac:dyDescent="0.2">
      <c r="A109" s="24"/>
      <c r="B109" s="24"/>
      <c r="C109" s="24"/>
      <c r="D109" s="24"/>
      <c r="E109" s="24"/>
      <c r="F109" s="10"/>
      <c r="G109" s="24"/>
      <c r="H109" s="24"/>
      <c r="I109" s="10" t="s">
        <v>506</v>
      </c>
      <c r="J109" s="14" t="s">
        <v>129</v>
      </c>
      <c r="K109" s="24"/>
      <c r="L109" s="10"/>
      <c r="M109" s="10"/>
      <c r="N109" s="10"/>
      <c r="O109" s="10"/>
      <c r="P109" s="10"/>
      <c r="Q109" s="10"/>
      <c r="R109" s="10"/>
      <c r="S109" s="10"/>
      <c r="T109" s="10"/>
      <c r="U109" s="11"/>
      <c r="V109" s="10"/>
      <c r="W109" s="10"/>
      <c r="X109" s="10"/>
      <c r="Y109" s="10"/>
      <c r="Z109" s="10"/>
      <c r="AA109" s="10"/>
      <c r="AB109" s="10"/>
      <c r="AC109" s="16"/>
      <c r="AD109" s="10"/>
      <c r="AE109" s="10"/>
      <c r="AF109" s="10"/>
      <c r="AG109" s="10"/>
      <c r="AH109" s="10"/>
      <c r="AI109" s="12"/>
      <c r="AJ109" s="12"/>
      <c r="AK109" s="12"/>
      <c r="AL109" s="10"/>
      <c r="AM109" s="10"/>
      <c r="AN109" s="10"/>
      <c r="AO109" s="10"/>
      <c r="AP109" s="10"/>
    </row>
    <row r="110" spans="1:42" x14ac:dyDescent="0.2">
      <c r="A110" s="25" t="s">
        <v>197</v>
      </c>
      <c r="B110" s="25" t="s">
        <v>507</v>
      </c>
      <c r="C110" s="25" t="s">
        <v>198</v>
      </c>
      <c r="D110" s="25" t="s">
        <v>199</v>
      </c>
      <c r="E110" s="35" t="s">
        <v>106</v>
      </c>
      <c r="F110" s="10"/>
      <c r="G110" s="10" t="s">
        <v>504</v>
      </c>
      <c r="H110" s="10" t="s">
        <v>505</v>
      </c>
      <c r="I110" s="10" t="s">
        <v>508</v>
      </c>
      <c r="J110" s="14" t="s">
        <v>493</v>
      </c>
      <c r="K110" s="25" t="s">
        <v>210</v>
      </c>
      <c r="L110" s="10"/>
      <c r="M110" s="11"/>
      <c r="N110" s="11"/>
      <c r="O110" s="11"/>
      <c r="P110" s="11"/>
      <c r="Q110" s="11"/>
      <c r="R110" s="10" t="s">
        <v>203</v>
      </c>
      <c r="S110" s="10">
        <v>2017</v>
      </c>
      <c r="T110" s="10">
        <f t="shared" ref="T110:T112" si="18">2026-S110</f>
        <v>9</v>
      </c>
      <c r="U110" s="11"/>
      <c r="V110" s="10" t="s">
        <v>75</v>
      </c>
      <c r="W110" s="10" t="s">
        <v>116</v>
      </c>
      <c r="X110" s="10" t="s">
        <v>77</v>
      </c>
      <c r="Y110" s="10" t="s">
        <v>205</v>
      </c>
      <c r="Z110" s="10" t="s">
        <v>206</v>
      </c>
      <c r="AA110" s="10" t="s">
        <v>207</v>
      </c>
      <c r="AB110" s="10" t="s">
        <v>208</v>
      </c>
      <c r="AC110" s="11"/>
      <c r="AD110" s="10" t="s">
        <v>52</v>
      </c>
      <c r="AE110" s="10" t="s">
        <v>211</v>
      </c>
      <c r="AF110" s="10" t="s">
        <v>212</v>
      </c>
      <c r="AG110" s="10" t="s">
        <v>213</v>
      </c>
      <c r="AH110" s="10" t="s">
        <v>130</v>
      </c>
      <c r="AI110" s="12">
        <v>785224246</v>
      </c>
      <c r="AJ110" s="12" t="str">
        <f t="shared" ref="AJ110:AJ112" si="19">AH110</f>
        <v>BOB</v>
      </c>
      <c r="AK110" s="12">
        <f t="shared" ref="AK110:AK112" si="20">AI110/3462</f>
        <v>226812.31831311382</v>
      </c>
      <c r="AL110" s="10" t="s">
        <v>218</v>
      </c>
      <c r="AM110" s="10" t="s">
        <v>219</v>
      </c>
      <c r="AN110" s="10" t="s">
        <v>220</v>
      </c>
      <c r="AO110" s="10"/>
      <c r="AP110" s="10"/>
    </row>
    <row r="111" spans="1:42" x14ac:dyDescent="0.2">
      <c r="A111" s="24"/>
      <c r="B111" s="24"/>
      <c r="C111" s="24"/>
      <c r="D111" s="24"/>
      <c r="E111" s="24"/>
      <c r="F111" s="10"/>
      <c r="G111" s="10" t="s">
        <v>509</v>
      </c>
      <c r="H111" s="10" t="s">
        <v>510</v>
      </c>
      <c r="I111" s="10" t="s">
        <v>511</v>
      </c>
      <c r="J111" s="14" t="s">
        <v>448</v>
      </c>
      <c r="K111" s="24"/>
      <c r="L111" s="10"/>
      <c r="M111" s="11"/>
      <c r="N111" s="11"/>
      <c r="O111" s="11"/>
      <c r="P111" s="11"/>
      <c r="Q111" s="11"/>
      <c r="R111" s="10"/>
      <c r="S111" s="10"/>
      <c r="T111" s="10">
        <f t="shared" si="18"/>
        <v>2026</v>
      </c>
      <c r="U111" s="11"/>
      <c r="V111" s="10"/>
      <c r="W111" s="10"/>
      <c r="X111" s="10"/>
      <c r="Y111" s="10"/>
      <c r="Z111" s="10"/>
      <c r="AA111" s="10"/>
      <c r="AB111" s="10"/>
      <c r="AC111" s="16"/>
      <c r="AD111" s="10"/>
      <c r="AE111" s="10"/>
      <c r="AF111" s="10"/>
      <c r="AG111" s="10"/>
      <c r="AH111" s="10"/>
      <c r="AI111" s="12"/>
      <c r="AJ111" s="12">
        <f t="shared" si="19"/>
        <v>0</v>
      </c>
      <c r="AK111" s="12">
        <f t="shared" si="20"/>
        <v>0</v>
      </c>
      <c r="AL111" s="10"/>
      <c r="AM111" s="10"/>
      <c r="AN111" s="10"/>
      <c r="AO111" s="10"/>
      <c r="AP111" s="10"/>
    </row>
    <row r="112" spans="1:42" x14ac:dyDescent="0.2">
      <c r="A112" s="24"/>
      <c r="B112" s="24"/>
      <c r="C112" s="24"/>
      <c r="D112" s="24"/>
      <c r="E112" s="24"/>
      <c r="F112" s="10"/>
      <c r="G112" s="10" t="s">
        <v>512</v>
      </c>
      <c r="H112" s="10" t="s">
        <v>513</v>
      </c>
      <c r="I112" s="10" t="s">
        <v>514</v>
      </c>
      <c r="J112" s="14" t="s">
        <v>129</v>
      </c>
      <c r="K112" s="24"/>
      <c r="L112" s="10"/>
      <c r="M112" s="11"/>
      <c r="N112" s="11"/>
      <c r="O112" s="11"/>
      <c r="P112" s="11"/>
      <c r="Q112" s="11"/>
      <c r="R112" s="10"/>
      <c r="S112" s="10"/>
      <c r="T112" s="10">
        <f t="shared" si="18"/>
        <v>2026</v>
      </c>
      <c r="U112" s="11"/>
      <c r="V112" s="10"/>
      <c r="W112" s="10"/>
      <c r="X112" s="10"/>
      <c r="Y112" s="10"/>
      <c r="Z112" s="10"/>
      <c r="AA112" s="10"/>
      <c r="AB112" s="10"/>
      <c r="AC112" s="11"/>
      <c r="AD112" s="10"/>
      <c r="AE112" s="10"/>
      <c r="AF112" s="10"/>
      <c r="AG112" s="10"/>
      <c r="AH112" s="10"/>
      <c r="AI112" s="12"/>
      <c r="AJ112" s="12">
        <f t="shared" si="19"/>
        <v>0</v>
      </c>
      <c r="AK112" s="12">
        <f t="shared" si="20"/>
        <v>0</v>
      </c>
      <c r="AL112" s="10"/>
      <c r="AM112" s="10"/>
      <c r="AN112" s="10"/>
      <c r="AO112" s="10"/>
      <c r="AP112" s="10"/>
    </row>
    <row r="113" spans="1:42" x14ac:dyDescent="0.2">
      <c r="A113" s="25" t="s">
        <v>450</v>
      </c>
      <c r="B113" s="25" t="s">
        <v>515</v>
      </c>
      <c r="C113" s="25" t="s">
        <v>451</v>
      </c>
      <c r="D113" s="25" t="s">
        <v>452</v>
      </c>
      <c r="E113" s="35" t="s">
        <v>239</v>
      </c>
      <c r="F113" s="10"/>
      <c r="G113" s="10" t="s">
        <v>516</v>
      </c>
      <c r="H113" s="10" t="s">
        <v>517</v>
      </c>
      <c r="I113" s="10" t="s">
        <v>518</v>
      </c>
      <c r="J113" s="14" t="s">
        <v>204</v>
      </c>
      <c r="K113" s="26"/>
      <c r="L113" s="11"/>
      <c r="M113" s="11"/>
      <c r="N113" s="11"/>
      <c r="O113" s="11"/>
      <c r="P113" s="11"/>
      <c r="Q113" s="11"/>
      <c r="R113" s="11"/>
      <c r="S113" s="11"/>
      <c r="T113" s="11"/>
      <c r="U113" s="11"/>
      <c r="V113" s="11"/>
      <c r="W113" s="11"/>
      <c r="X113" s="11"/>
      <c r="Y113" s="11"/>
      <c r="Z113" s="11"/>
      <c r="AA113" s="11"/>
      <c r="AB113" s="11"/>
      <c r="AC113" s="16"/>
      <c r="AD113" s="11"/>
      <c r="AE113" s="11"/>
      <c r="AF113" s="11"/>
      <c r="AG113" s="11"/>
      <c r="AH113" s="11"/>
      <c r="AI113" s="11"/>
      <c r="AJ113" s="11"/>
      <c r="AK113" s="11"/>
      <c r="AL113" s="11"/>
      <c r="AM113" s="11"/>
      <c r="AN113" s="11"/>
      <c r="AO113" s="11"/>
      <c r="AP113" s="11"/>
    </row>
    <row r="114" spans="1:42" x14ac:dyDescent="0.2">
      <c r="A114" s="24"/>
      <c r="B114" s="24"/>
      <c r="C114" s="24"/>
      <c r="D114" s="24"/>
      <c r="E114" s="24"/>
      <c r="F114" s="14"/>
      <c r="G114" s="25" t="s">
        <v>519</v>
      </c>
      <c r="H114" s="25" t="s">
        <v>520</v>
      </c>
      <c r="I114" s="10" t="s">
        <v>521</v>
      </c>
      <c r="J114" s="14" t="s">
        <v>483</v>
      </c>
      <c r="K114" s="24"/>
      <c r="L114" s="11"/>
      <c r="M114" s="10"/>
      <c r="N114" s="10"/>
      <c r="O114" s="10"/>
      <c r="P114" s="10"/>
      <c r="Q114" s="10"/>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1:42" x14ac:dyDescent="0.2">
      <c r="A115" s="24"/>
      <c r="B115" s="24"/>
      <c r="C115" s="24"/>
      <c r="D115" s="24"/>
      <c r="E115" s="24"/>
      <c r="F115" s="14"/>
      <c r="G115" s="24"/>
      <c r="H115" s="24"/>
      <c r="I115" s="10" t="s">
        <v>522</v>
      </c>
      <c r="J115" s="14" t="s">
        <v>287</v>
      </c>
      <c r="K115" s="24"/>
      <c r="L115" s="11"/>
      <c r="M115" s="10"/>
      <c r="N115" s="10"/>
      <c r="O115" s="10"/>
      <c r="P115" s="10"/>
      <c r="Q115" s="10"/>
      <c r="R115" s="11"/>
      <c r="S115" s="11"/>
      <c r="T115" s="11"/>
      <c r="U115" s="11"/>
      <c r="V115" s="11"/>
      <c r="W115" s="11"/>
      <c r="X115" s="11"/>
      <c r="Y115" s="11"/>
      <c r="Z115" s="11"/>
      <c r="AA115" s="11"/>
      <c r="AB115" s="11"/>
      <c r="AC115" s="16"/>
      <c r="AD115" s="11"/>
      <c r="AE115" s="11"/>
      <c r="AF115" s="11"/>
      <c r="AG115" s="11"/>
      <c r="AH115" s="11"/>
      <c r="AI115" s="11"/>
      <c r="AJ115" s="11"/>
      <c r="AK115" s="11"/>
      <c r="AL115" s="11"/>
      <c r="AM115" s="11"/>
      <c r="AN115" s="11"/>
      <c r="AO115" s="11"/>
      <c r="AP115" s="11"/>
    </row>
    <row r="116" spans="1:42" x14ac:dyDescent="0.2">
      <c r="A116" s="24"/>
      <c r="B116" s="24"/>
      <c r="C116" s="24"/>
      <c r="D116" s="24"/>
      <c r="E116" s="24"/>
      <c r="F116" s="14"/>
      <c r="G116" s="24"/>
      <c r="H116" s="24"/>
      <c r="I116" s="10" t="s">
        <v>523</v>
      </c>
      <c r="J116" s="14" t="s">
        <v>493</v>
      </c>
      <c r="K116" s="24"/>
      <c r="L116" s="11"/>
      <c r="M116" s="10"/>
      <c r="N116" s="10"/>
      <c r="O116" s="10"/>
      <c r="P116" s="10"/>
      <c r="Q116" s="10"/>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row>
    <row r="117" spans="1:42" x14ac:dyDescent="0.2">
      <c r="A117" s="25" t="s">
        <v>439</v>
      </c>
      <c r="B117" s="25" t="s">
        <v>524</v>
      </c>
      <c r="C117" s="25" t="s">
        <v>440</v>
      </c>
      <c r="D117" s="25" t="s">
        <v>443</v>
      </c>
      <c r="E117" s="35" t="s">
        <v>525</v>
      </c>
      <c r="F117" s="10"/>
      <c r="G117" s="10" t="s">
        <v>526</v>
      </c>
      <c r="H117" s="10" t="s">
        <v>527</v>
      </c>
      <c r="I117" s="10" t="s">
        <v>528</v>
      </c>
      <c r="J117" s="14" t="s">
        <v>529</v>
      </c>
      <c r="K117" s="10" t="s">
        <v>465</v>
      </c>
      <c r="L117" s="10"/>
      <c r="M117" s="10"/>
      <c r="N117" s="10"/>
      <c r="O117" s="10"/>
      <c r="P117" s="10"/>
      <c r="Q117" s="10"/>
      <c r="R117" s="10" t="s">
        <v>453</v>
      </c>
      <c r="S117" s="10">
        <v>2025</v>
      </c>
      <c r="T117" s="10">
        <v>1</v>
      </c>
      <c r="U117" s="11"/>
      <c r="V117" s="10" t="s">
        <v>458</v>
      </c>
      <c r="W117" s="10" t="s">
        <v>276</v>
      </c>
      <c r="X117" s="10" t="s">
        <v>459</v>
      </c>
      <c r="Y117" s="10" t="s">
        <v>460</v>
      </c>
      <c r="Z117" s="10" t="s">
        <v>461</v>
      </c>
      <c r="AA117" s="10" t="s">
        <v>462</v>
      </c>
      <c r="AB117" s="10" t="s">
        <v>464</v>
      </c>
      <c r="AC117" s="16"/>
      <c r="AD117" s="10" t="s">
        <v>466</v>
      </c>
      <c r="AE117" s="10" t="s">
        <v>467</v>
      </c>
      <c r="AF117" s="10"/>
      <c r="AG117" s="10"/>
      <c r="AH117" s="10" t="s">
        <v>130</v>
      </c>
      <c r="AI117" s="12">
        <v>945954</v>
      </c>
      <c r="AJ117" s="12" t="str">
        <f t="shared" ref="AJ117:AJ118" si="21">AH117</f>
        <v>BOB</v>
      </c>
      <c r="AK117" s="12">
        <v>5000</v>
      </c>
      <c r="AL117" s="10" t="s">
        <v>471</v>
      </c>
      <c r="AM117" s="10" t="s">
        <v>472</v>
      </c>
      <c r="AN117" s="10" t="s">
        <v>475</v>
      </c>
      <c r="AO117" s="10"/>
      <c r="AP117" s="10"/>
    </row>
    <row r="118" spans="1:42" x14ac:dyDescent="0.2">
      <c r="A118" s="24"/>
      <c r="B118" s="24"/>
      <c r="C118" s="24"/>
      <c r="D118" s="24"/>
      <c r="E118" s="24"/>
      <c r="F118" s="10"/>
      <c r="G118" s="25" t="s">
        <v>530</v>
      </c>
      <c r="H118" s="25" t="s">
        <v>531</v>
      </c>
      <c r="I118" s="10" t="s">
        <v>532</v>
      </c>
      <c r="J118" s="14" t="s">
        <v>533</v>
      </c>
      <c r="K118" s="10" t="s">
        <v>393</v>
      </c>
      <c r="L118" s="10"/>
      <c r="M118" s="10"/>
      <c r="N118" s="10"/>
      <c r="O118" s="10"/>
      <c r="P118" s="10"/>
      <c r="Q118" s="10"/>
      <c r="R118" s="10" t="s">
        <v>382</v>
      </c>
      <c r="S118" s="10">
        <v>2024</v>
      </c>
      <c r="T118" s="10">
        <f>2026-S118</f>
        <v>2</v>
      </c>
      <c r="U118" s="11"/>
      <c r="V118" s="10" t="s">
        <v>385</v>
      </c>
      <c r="W118" s="10" t="s">
        <v>276</v>
      </c>
      <c r="X118" s="10" t="s">
        <v>386</v>
      </c>
      <c r="Y118" s="10" t="s">
        <v>387</v>
      </c>
      <c r="Z118" s="10" t="s">
        <v>388</v>
      </c>
      <c r="AA118" s="10" t="s">
        <v>389</v>
      </c>
      <c r="AB118" s="10"/>
      <c r="AC118" s="11"/>
      <c r="AD118" s="10" t="s">
        <v>394</v>
      </c>
      <c r="AE118" s="10"/>
      <c r="AF118" s="10" t="s">
        <v>395</v>
      </c>
      <c r="AG118" s="10"/>
      <c r="AH118" s="23" t="s">
        <v>193</v>
      </c>
      <c r="AI118" s="12">
        <v>375000</v>
      </c>
      <c r="AJ118" s="12" t="str">
        <f t="shared" si="21"/>
        <v>EUR</v>
      </c>
      <c r="AK118" s="12">
        <f>AI118/378</f>
        <v>992.06349206349205</v>
      </c>
      <c r="AL118" s="10" t="s">
        <v>181</v>
      </c>
      <c r="AM118" s="10" t="s">
        <v>399</v>
      </c>
      <c r="AN118" s="10"/>
      <c r="AO118" s="10"/>
      <c r="AP118" s="10"/>
    </row>
    <row r="119" spans="1:42" x14ac:dyDescent="0.2">
      <c r="A119" s="24"/>
      <c r="B119" s="24"/>
      <c r="C119" s="24"/>
      <c r="D119" s="24"/>
      <c r="E119" s="24"/>
      <c r="F119" s="10"/>
      <c r="G119" s="24"/>
      <c r="H119" s="24"/>
      <c r="I119" s="10" t="s">
        <v>534</v>
      </c>
      <c r="J119" s="14" t="s">
        <v>535</v>
      </c>
      <c r="K119" s="10"/>
      <c r="L119" s="10"/>
      <c r="M119" s="10"/>
      <c r="N119" s="10"/>
      <c r="O119" s="10"/>
      <c r="P119" s="10"/>
      <c r="Q119" s="10"/>
      <c r="R119" s="10"/>
      <c r="S119" s="10"/>
      <c r="T119" s="10"/>
      <c r="U119" s="11"/>
      <c r="V119" s="10"/>
      <c r="W119" s="10"/>
      <c r="X119" s="10"/>
      <c r="Y119" s="10"/>
      <c r="Z119" s="10"/>
      <c r="AA119" s="10"/>
      <c r="AB119" s="10"/>
      <c r="AC119" s="16"/>
      <c r="AD119" s="10"/>
      <c r="AE119" s="10"/>
      <c r="AF119" s="10"/>
      <c r="AG119" s="10"/>
      <c r="AH119" s="23"/>
      <c r="AI119" s="12"/>
      <c r="AJ119" s="12"/>
      <c r="AK119" s="12"/>
      <c r="AL119" s="10"/>
      <c r="AM119" s="10"/>
      <c r="AN119" s="10"/>
      <c r="AO119" s="10"/>
      <c r="AP119" s="10"/>
    </row>
    <row r="120" spans="1:42" x14ac:dyDescent="0.2">
      <c r="A120" s="25" t="s">
        <v>337</v>
      </c>
      <c r="B120" s="25" t="s">
        <v>524</v>
      </c>
      <c r="C120" s="25" t="s">
        <v>339</v>
      </c>
      <c r="D120" s="25" t="s">
        <v>340</v>
      </c>
      <c r="E120" s="35" t="s">
        <v>106</v>
      </c>
      <c r="F120" s="10"/>
      <c r="G120" s="10" t="s">
        <v>536</v>
      </c>
      <c r="H120" s="10" t="s">
        <v>537</v>
      </c>
      <c r="I120" s="10" t="s">
        <v>538</v>
      </c>
      <c r="J120" s="14" t="s">
        <v>129</v>
      </c>
      <c r="K120" s="25" t="s">
        <v>82</v>
      </c>
      <c r="L120" s="10"/>
      <c r="M120" s="10"/>
      <c r="N120" s="10"/>
      <c r="O120" s="10"/>
      <c r="P120" s="10"/>
      <c r="Q120" s="10"/>
      <c r="R120" s="10" t="s">
        <v>345</v>
      </c>
      <c r="S120" s="10">
        <v>2022</v>
      </c>
      <c r="T120" s="10">
        <v>4</v>
      </c>
      <c r="U120" s="11"/>
      <c r="V120" s="10" t="s">
        <v>75</v>
      </c>
      <c r="W120" s="10" t="s">
        <v>116</v>
      </c>
      <c r="X120" s="10" t="s">
        <v>77</v>
      </c>
      <c r="Y120" s="10" t="s">
        <v>346</v>
      </c>
      <c r="Z120" s="10" t="s">
        <v>348</v>
      </c>
      <c r="AA120" s="10" t="s">
        <v>349</v>
      </c>
      <c r="AB120" s="10" t="s">
        <v>250</v>
      </c>
      <c r="AC120" s="11"/>
      <c r="AD120" s="10" t="s">
        <v>52</v>
      </c>
      <c r="AE120" s="10"/>
      <c r="AF120" s="10"/>
      <c r="AG120" s="10"/>
      <c r="AH120" s="10" t="s">
        <v>55</v>
      </c>
      <c r="AI120" s="12">
        <v>35000000</v>
      </c>
      <c r="AJ120" s="12" t="str">
        <f t="shared" ref="AJ120:AJ123" si="22">AH120</f>
        <v>USD</v>
      </c>
      <c r="AK120" s="12"/>
      <c r="AL120" s="10" t="s">
        <v>342</v>
      </c>
      <c r="AM120" s="10" t="s">
        <v>353</v>
      </c>
      <c r="AN120" s="10" t="s">
        <v>354</v>
      </c>
      <c r="AO120" s="10"/>
      <c r="AP120" s="10"/>
    </row>
    <row r="121" spans="1:42" x14ac:dyDescent="0.2">
      <c r="A121" s="24"/>
      <c r="B121" s="24"/>
      <c r="C121" s="24"/>
      <c r="D121" s="24"/>
      <c r="E121" s="24"/>
      <c r="F121" s="10"/>
      <c r="G121" s="10" t="s">
        <v>539</v>
      </c>
      <c r="H121" s="10" t="s">
        <v>540</v>
      </c>
      <c r="I121" s="10" t="s">
        <v>541</v>
      </c>
      <c r="J121" s="14" t="s">
        <v>129</v>
      </c>
      <c r="K121" s="24"/>
      <c r="L121" s="10"/>
      <c r="M121" s="10"/>
      <c r="N121" s="10"/>
      <c r="O121" s="10"/>
      <c r="P121" s="10"/>
      <c r="Q121" s="10"/>
      <c r="R121" s="10"/>
      <c r="S121" s="10"/>
      <c r="T121" s="10"/>
      <c r="U121" s="11"/>
      <c r="V121" s="10"/>
      <c r="W121" s="10"/>
      <c r="X121" s="10"/>
      <c r="Y121" s="10"/>
      <c r="Z121" s="10"/>
      <c r="AA121" s="10"/>
      <c r="AB121" s="10"/>
      <c r="AC121" s="16"/>
      <c r="AD121" s="10"/>
      <c r="AE121" s="10"/>
      <c r="AF121" s="10"/>
      <c r="AG121" s="10"/>
      <c r="AH121" s="10"/>
      <c r="AI121" s="12"/>
      <c r="AJ121" s="12">
        <f t="shared" si="22"/>
        <v>0</v>
      </c>
      <c r="AK121" s="12"/>
      <c r="AL121" s="10"/>
      <c r="AM121" s="10"/>
      <c r="AN121" s="10"/>
      <c r="AO121" s="10"/>
      <c r="AP121" s="10"/>
    </row>
    <row r="122" spans="1:42" x14ac:dyDescent="0.2">
      <c r="A122" s="25" t="s">
        <v>400</v>
      </c>
      <c r="B122" s="25" t="s">
        <v>405</v>
      </c>
      <c r="C122" s="25" t="s">
        <v>401</v>
      </c>
      <c r="D122" s="26"/>
      <c r="E122" s="35" t="s">
        <v>525</v>
      </c>
      <c r="F122" s="10"/>
      <c r="G122" s="10" t="s">
        <v>542</v>
      </c>
      <c r="H122" s="10" t="s">
        <v>543</v>
      </c>
      <c r="I122" s="11" t="s">
        <v>544</v>
      </c>
      <c r="J122" s="14" t="s">
        <v>535</v>
      </c>
      <c r="K122" s="25" t="s">
        <v>413</v>
      </c>
      <c r="L122" s="10"/>
      <c r="M122" s="10"/>
      <c r="N122" s="10"/>
      <c r="O122" s="10"/>
      <c r="P122" s="10"/>
      <c r="Q122" s="10"/>
      <c r="R122" s="10" t="s">
        <v>403</v>
      </c>
      <c r="S122" s="10">
        <v>2024</v>
      </c>
      <c r="T122" s="10">
        <f t="shared" ref="T122:T123" si="23">2026-S122</f>
        <v>2</v>
      </c>
      <c r="U122" s="11"/>
      <c r="V122" s="10" t="s">
        <v>406</v>
      </c>
      <c r="W122" s="10" t="s">
        <v>276</v>
      </c>
      <c r="X122" s="10" t="s">
        <v>47</v>
      </c>
      <c r="Y122" s="10" t="s">
        <v>411</v>
      </c>
      <c r="Z122" s="10" t="s">
        <v>412</v>
      </c>
      <c r="AA122" s="10" t="s">
        <v>328</v>
      </c>
      <c r="AB122" s="10"/>
      <c r="AC122" s="11"/>
      <c r="AD122" s="10" t="s">
        <v>414</v>
      </c>
      <c r="AE122" s="10"/>
      <c r="AF122" s="10" t="s">
        <v>415</v>
      </c>
      <c r="AG122" s="10"/>
      <c r="AH122" s="10" t="s">
        <v>193</v>
      </c>
      <c r="AI122" s="12">
        <v>374920.3</v>
      </c>
      <c r="AJ122" s="12" t="str">
        <f t="shared" si="22"/>
        <v>EUR</v>
      </c>
      <c r="AK122" s="12">
        <f t="shared" ref="AK122:AK123" si="24">AI122/200</f>
        <v>1874.6015</v>
      </c>
      <c r="AL122" s="10" t="s">
        <v>181</v>
      </c>
      <c r="AM122" s="10" t="s">
        <v>417</v>
      </c>
      <c r="AN122" s="10"/>
      <c r="AO122" s="10"/>
      <c r="AP122" s="10"/>
    </row>
    <row r="123" spans="1:42" x14ac:dyDescent="0.2">
      <c r="A123" s="24"/>
      <c r="B123" s="24"/>
      <c r="C123" s="24"/>
      <c r="D123" s="24"/>
      <c r="E123" s="24"/>
      <c r="F123" s="10"/>
      <c r="G123" s="25" t="s">
        <v>545</v>
      </c>
      <c r="H123" s="25" t="s">
        <v>546</v>
      </c>
      <c r="I123" s="11" t="s">
        <v>547</v>
      </c>
      <c r="J123" s="14" t="s">
        <v>529</v>
      </c>
      <c r="K123" s="24"/>
      <c r="L123" s="10"/>
      <c r="M123" s="10"/>
      <c r="N123" s="10"/>
      <c r="O123" s="10"/>
      <c r="P123" s="10"/>
      <c r="Q123" s="10"/>
      <c r="R123" s="10"/>
      <c r="S123" s="10"/>
      <c r="T123" s="10">
        <f t="shared" si="23"/>
        <v>2026</v>
      </c>
      <c r="U123" s="11"/>
      <c r="V123" s="10"/>
      <c r="W123" s="10"/>
      <c r="X123" s="10"/>
      <c r="Y123" s="10"/>
      <c r="Z123" s="10"/>
      <c r="AA123" s="10"/>
      <c r="AB123" s="10"/>
      <c r="AC123" s="16"/>
      <c r="AD123" s="10"/>
      <c r="AE123" s="10"/>
      <c r="AF123" s="10"/>
      <c r="AG123" s="10"/>
      <c r="AH123" s="10"/>
      <c r="AI123" s="12"/>
      <c r="AJ123" s="12">
        <f t="shared" si="22"/>
        <v>0</v>
      </c>
      <c r="AK123" s="12">
        <f t="shared" si="24"/>
        <v>0</v>
      </c>
      <c r="AL123" s="10"/>
      <c r="AM123" s="10"/>
      <c r="AN123" s="10"/>
      <c r="AO123" s="10"/>
      <c r="AP123" s="10"/>
    </row>
    <row r="124" spans="1:42" x14ac:dyDescent="0.2">
      <c r="A124" s="24"/>
      <c r="B124" s="24"/>
      <c r="C124" s="24"/>
      <c r="D124" s="24"/>
      <c r="E124" s="24"/>
      <c r="F124" s="10"/>
      <c r="G124" s="24"/>
      <c r="H124" s="24"/>
      <c r="I124" s="11" t="s">
        <v>548</v>
      </c>
      <c r="J124" s="14" t="s">
        <v>529</v>
      </c>
      <c r="K124" s="24"/>
      <c r="L124" s="10"/>
      <c r="M124" s="10"/>
      <c r="N124" s="10"/>
      <c r="O124" s="10"/>
      <c r="P124" s="10"/>
      <c r="Q124" s="10"/>
      <c r="R124" s="10"/>
      <c r="S124" s="10"/>
      <c r="T124" s="10"/>
      <c r="U124" s="11"/>
      <c r="V124" s="10"/>
      <c r="W124" s="10"/>
      <c r="X124" s="10"/>
      <c r="Y124" s="10"/>
      <c r="Z124" s="10"/>
      <c r="AA124" s="10"/>
      <c r="AB124" s="10"/>
      <c r="AC124" s="11"/>
      <c r="AD124" s="10"/>
      <c r="AE124" s="10"/>
      <c r="AF124" s="10"/>
      <c r="AG124" s="10"/>
      <c r="AH124" s="10"/>
      <c r="AI124" s="12"/>
      <c r="AJ124" s="12"/>
      <c r="AK124" s="12"/>
      <c r="AL124" s="10"/>
      <c r="AM124" s="10"/>
      <c r="AN124" s="10"/>
      <c r="AO124" s="10"/>
      <c r="AP124" s="10"/>
    </row>
    <row r="125" spans="1:42" x14ac:dyDescent="0.2">
      <c r="A125" s="25" t="s">
        <v>418</v>
      </c>
      <c r="B125" s="25" t="s">
        <v>425</v>
      </c>
      <c r="C125" s="25" t="s">
        <v>421</v>
      </c>
      <c r="D125" s="26"/>
      <c r="E125" s="35" t="s">
        <v>407</v>
      </c>
      <c r="F125" s="10"/>
      <c r="G125" s="10" t="s">
        <v>549</v>
      </c>
      <c r="H125" s="10" t="s">
        <v>550</v>
      </c>
      <c r="I125" s="11" t="s">
        <v>551</v>
      </c>
      <c r="J125" s="14" t="s">
        <v>295</v>
      </c>
      <c r="K125" s="25" t="s">
        <v>431</v>
      </c>
      <c r="L125" s="10"/>
      <c r="M125" s="10"/>
      <c r="N125" s="10"/>
      <c r="O125" s="10"/>
      <c r="P125" s="10"/>
      <c r="Q125" s="10"/>
      <c r="R125" s="10" t="s">
        <v>424</v>
      </c>
      <c r="S125" s="10">
        <v>2024</v>
      </c>
      <c r="T125" s="10">
        <f t="shared" ref="T125:T126" si="25">2026-S125</f>
        <v>2</v>
      </c>
      <c r="U125" s="11"/>
      <c r="V125" s="10" t="s">
        <v>426</v>
      </c>
      <c r="W125" s="10" t="s">
        <v>276</v>
      </c>
      <c r="X125" s="10" t="s">
        <v>428</v>
      </c>
      <c r="Y125" s="10" t="s">
        <v>429</v>
      </c>
      <c r="Z125" s="10" t="s">
        <v>430</v>
      </c>
      <c r="AA125" s="10" t="s">
        <v>349</v>
      </c>
      <c r="AB125" s="10"/>
      <c r="AC125" s="16"/>
      <c r="AD125" s="10" t="s">
        <v>414</v>
      </c>
      <c r="AE125" s="10" t="s">
        <v>432</v>
      </c>
      <c r="AF125" s="10" t="s">
        <v>435</v>
      </c>
      <c r="AG125" s="10"/>
      <c r="AH125" s="23" t="s">
        <v>193</v>
      </c>
      <c r="AI125" s="12">
        <v>375000</v>
      </c>
      <c r="AJ125" s="12" t="str">
        <f t="shared" ref="AJ125:AJ126" si="26">AH125</f>
        <v>EUR</v>
      </c>
      <c r="AK125" s="12">
        <f t="shared" ref="AK125:AK126" si="27">AI125/150</f>
        <v>2500</v>
      </c>
      <c r="AL125" s="10" t="s">
        <v>181</v>
      </c>
      <c r="AM125" s="10" t="s">
        <v>437</v>
      </c>
      <c r="AN125" s="10"/>
      <c r="AO125" s="10"/>
      <c r="AP125" s="10"/>
    </row>
    <row r="126" spans="1:42" x14ac:dyDescent="0.2">
      <c r="A126" s="24"/>
      <c r="B126" s="24"/>
      <c r="C126" s="24"/>
      <c r="D126" s="24"/>
      <c r="E126" s="24"/>
      <c r="F126" s="14"/>
      <c r="G126" s="25" t="s">
        <v>552</v>
      </c>
      <c r="H126" s="25" t="s">
        <v>553</v>
      </c>
      <c r="I126" s="11" t="s">
        <v>554</v>
      </c>
      <c r="J126" s="14" t="s">
        <v>373</v>
      </c>
      <c r="K126" s="24"/>
      <c r="L126" s="10"/>
      <c r="M126" s="10"/>
      <c r="N126" s="10"/>
      <c r="O126" s="10"/>
      <c r="P126" s="10"/>
      <c r="Q126" s="10"/>
      <c r="R126" s="10"/>
      <c r="S126" s="10"/>
      <c r="T126" s="10">
        <f t="shared" si="25"/>
        <v>2026</v>
      </c>
      <c r="U126" s="11"/>
      <c r="V126" s="10"/>
      <c r="W126" s="10"/>
      <c r="X126" s="10"/>
      <c r="Y126" s="10"/>
      <c r="Z126" s="10"/>
      <c r="AA126" s="10"/>
      <c r="AB126" s="10"/>
      <c r="AC126" s="11"/>
      <c r="AD126" s="10"/>
      <c r="AE126" s="10"/>
      <c r="AF126" s="10"/>
      <c r="AG126" s="10"/>
      <c r="AH126" s="23"/>
      <c r="AI126" s="12"/>
      <c r="AJ126" s="12">
        <f t="shared" si="26"/>
        <v>0</v>
      </c>
      <c r="AK126" s="12">
        <f t="shared" si="27"/>
        <v>0</v>
      </c>
      <c r="AL126" s="10"/>
      <c r="AM126" s="10"/>
      <c r="AN126" s="10"/>
      <c r="AO126" s="10"/>
      <c r="AP126" s="10"/>
    </row>
    <row r="127" spans="1:42" x14ac:dyDescent="0.2">
      <c r="A127" s="24"/>
      <c r="B127" s="24"/>
      <c r="C127" s="24"/>
      <c r="D127" s="24"/>
      <c r="E127" s="24"/>
      <c r="F127" s="10"/>
      <c r="G127" s="24"/>
      <c r="H127" s="24"/>
      <c r="I127" s="11" t="s">
        <v>555</v>
      </c>
      <c r="J127" s="14" t="s">
        <v>287</v>
      </c>
      <c r="K127" s="24"/>
      <c r="L127" s="10"/>
      <c r="M127" s="10"/>
      <c r="N127" s="10"/>
      <c r="O127" s="10"/>
      <c r="P127" s="10"/>
      <c r="Q127" s="10"/>
      <c r="R127" s="10"/>
      <c r="S127" s="10"/>
      <c r="T127" s="10"/>
      <c r="U127" s="11"/>
      <c r="V127" s="10"/>
      <c r="W127" s="10"/>
      <c r="X127" s="10"/>
      <c r="Y127" s="10"/>
      <c r="Z127" s="10"/>
      <c r="AA127" s="10"/>
      <c r="AB127" s="10"/>
      <c r="AC127" s="16"/>
      <c r="AD127" s="10"/>
      <c r="AE127" s="10"/>
      <c r="AF127" s="10"/>
      <c r="AG127" s="10"/>
      <c r="AH127" s="23"/>
      <c r="AI127" s="12"/>
      <c r="AJ127" s="12"/>
      <c r="AK127" s="12"/>
      <c r="AL127" s="10"/>
      <c r="AM127" s="10"/>
      <c r="AN127" s="10"/>
      <c r="AO127" s="10"/>
      <c r="AP127" s="10"/>
    </row>
    <row r="128" spans="1:42" x14ac:dyDescent="0.2">
      <c r="A128" s="25" t="s">
        <v>377</v>
      </c>
      <c r="B128" s="25" t="s">
        <v>384</v>
      </c>
      <c r="C128" s="25" t="s">
        <v>379</v>
      </c>
      <c r="D128" s="26"/>
      <c r="E128" s="35" t="s">
        <v>525</v>
      </c>
      <c r="F128" s="10"/>
      <c r="G128" s="10" t="s">
        <v>556</v>
      </c>
      <c r="H128" s="10" t="s">
        <v>557</v>
      </c>
      <c r="I128" s="11" t="s">
        <v>558</v>
      </c>
      <c r="J128" s="14" t="s">
        <v>535</v>
      </c>
      <c r="K128" s="25" t="s">
        <v>393</v>
      </c>
      <c r="L128" s="10"/>
      <c r="M128" s="10"/>
      <c r="N128" s="10"/>
      <c r="O128" s="10"/>
      <c r="P128" s="10"/>
      <c r="Q128" s="10"/>
      <c r="R128" s="10" t="s">
        <v>382</v>
      </c>
      <c r="S128" s="10">
        <v>2024</v>
      </c>
      <c r="T128" s="10">
        <f t="shared" ref="T128:T129" si="28">2026-S128</f>
        <v>2</v>
      </c>
      <c r="U128" s="11"/>
      <c r="V128" s="10" t="s">
        <v>385</v>
      </c>
      <c r="W128" s="10" t="s">
        <v>276</v>
      </c>
      <c r="X128" s="10" t="s">
        <v>386</v>
      </c>
      <c r="Y128" s="10" t="s">
        <v>387</v>
      </c>
      <c r="Z128" s="10" t="s">
        <v>388</v>
      </c>
      <c r="AA128" s="10" t="s">
        <v>389</v>
      </c>
      <c r="AB128" s="10"/>
      <c r="AC128" s="11"/>
      <c r="AD128" s="10" t="s">
        <v>394</v>
      </c>
      <c r="AE128" s="10"/>
      <c r="AF128" s="10" t="s">
        <v>395</v>
      </c>
      <c r="AG128" s="10"/>
      <c r="AH128" s="23" t="s">
        <v>193</v>
      </c>
      <c r="AI128" s="12">
        <v>375000</v>
      </c>
      <c r="AJ128" s="12" t="str">
        <f t="shared" ref="AJ128:AJ129" si="29">AH128</f>
        <v>EUR</v>
      </c>
      <c r="AK128" s="12">
        <f t="shared" ref="AK128:AK129" si="30">AI128/378</f>
        <v>992.06349206349205</v>
      </c>
      <c r="AL128" s="10" t="s">
        <v>181</v>
      </c>
      <c r="AM128" s="10" t="s">
        <v>399</v>
      </c>
      <c r="AN128" s="10"/>
      <c r="AO128" s="10"/>
      <c r="AP128" s="10"/>
    </row>
    <row r="129" spans="1:42" x14ac:dyDescent="0.2">
      <c r="A129" s="24"/>
      <c r="B129" s="24"/>
      <c r="C129" s="24"/>
      <c r="D129" s="24"/>
      <c r="E129" s="24"/>
      <c r="F129" s="14"/>
      <c r="G129" s="25" t="s">
        <v>559</v>
      </c>
      <c r="H129" s="25" t="s">
        <v>560</v>
      </c>
      <c r="I129" s="11" t="s">
        <v>561</v>
      </c>
      <c r="J129" s="14" t="s">
        <v>137</v>
      </c>
      <c r="K129" s="24"/>
      <c r="L129" s="10"/>
      <c r="M129" s="16"/>
      <c r="N129" s="16"/>
      <c r="O129" s="16"/>
      <c r="P129" s="16"/>
      <c r="Q129" s="16"/>
      <c r="R129" s="10"/>
      <c r="S129" s="10"/>
      <c r="T129" s="10">
        <f t="shared" si="28"/>
        <v>2026</v>
      </c>
      <c r="U129" s="11"/>
      <c r="V129" s="10"/>
      <c r="W129" s="10"/>
      <c r="X129" s="10"/>
      <c r="Y129" s="10"/>
      <c r="Z129" s="10"/>
      <c r="AA129" s="10"/>
      <c r="AB129" s="10"/>
      <c r="AC129" s="16"/>
      <c r="AD129" s="10"/>
      <c r="AE129" s="10"/>
      <c r="AF129" s="10"/>
      <c r="AG129" s="10"/>
      <c r="AH129" s="23"/>
      <c r="AI129" s="12"/>
      <c r="AJ129" s="12">
        <f t="shared" si="29"/>
        <v>0</v>
      </c>
      <c r="AK129" s="12">
        <f t="shared" si="30"/>
        <v>0</v>
      </c>
      <c r="AL129" s="10"/>
      <c r="AM129" s="10"/>
      <c r="AN129" s="10"/>
      <c r="AO129" s="10"/>
      <c r="AP129" s="10"/>
    </row>
    <row r="130" spans="1:42" x14ac:dyDescent="0.2">
      <c r="A130" s="24"/>
      <c r="B130" s="24"/>
      <c r="C130" s="24"/>
      <c r="D130" s="24"/>
      <c r="E130" s="24"/>
      <c r="F130" s="10"/>
      <c r="G130" s="24"/>
      <c r="H130" s="24"/>
      <c r="I130" s="11" t="s">
        <v>562</v>
      </c>
      <c r="J130" s="14" t="s">
        <v>529</v>
      </c>
      <c r="K130" s="24"/>
      <c r="L130" s="10"/>
      <c r="M130" s="11"/>
      <c r="N130" s="11"/>
      <c r="O130" s="11"/>
      <c r="P130" s="11"/>
      <c r="Q130" s="11"/>
      <c r="R130" s="10"/>
      <c r="S130" s="10"/>
      <c r="T130" s="10"/>
      <c r="U130" s="11"/>
      <c r="V130" s="10"/>
      <c r="W130" s="10"/>
      <c r="X130" s="10"/>
      <c r="Y130" s="10"/>
      <c r="Z130" s="10"/>
      <c r="AA130" s="10"/>
      <c r="AB130" s="10"/>
      <c r="AC130" s="11"/>
      <c r="AD130" s="10"/>
      <c r="AE130" s="10"/>
      <c r="AF130" s="10"/>
      <c r="AG130" s="10"/>
      <c r="AH130" s="23"/>
      <c r="AI130" s="12"/>
      <c r="AJ130" s="12"/>
      <c r="AK130" s="12"/>
      <c r="AL130" s="10"/>
      <c r="AM130" s="10"/>
      <c r="AN130" s="10"/>
      <c r="AO130" s="10"/>
      <c r="AP130" s="10"/>
    </row>
    <row r="131" spans="1:42" x14ac:dyDescent="0.2">
      <c r="A131" s="24"/>
      <c r="B131" s="24"/>
      <c r="C131" s="24"/>
      <c r="D131" s="24"/>
      <c r="E131" s="24"/>
      <c r="F131" s="14"/>
      <c r="G131" s="10" t="s">
        <v>563</v>
      </c>
      <c r="H131" s="10" t="s">
        <v>564</v>
      </c>
      <c r="I131" s="16" t="s">
        <v>565</v>
      </c>
      <c r="J131" s="14" t="s">
        <v>295</v>
      </c>
      <c r="K131" s="24"/>
      <c r="L131" s="10"/>
      <c r="M131" s="16"/>
      <c r="N131" s="16"/>
      <c r="O131" s="16"/>
      <c r="P131" s="16"/>
      <c r="Q131" s="16"/>
      <c r="R131" s="10"/>
      <c r="S131" s="10"/>
      <c r="T131" s="10"/>
      <c r="U131" s="11"/>
      <c r="V131" s="10"/>
      <c r="W131" s="10"/>
      <c r="X131" s="10"/>
      <c r="Y131" s="10"/>
      <c r="Z131" s="10"/>
      <c r="AA131" s="10"/>
      <c r="AB131" s="10"/>
      <c r="AC131" s="16"/>
      <c r="AD131" s="10"/>
      <c r="AE131" s="10"/>
      <c r="AF131" s="10"/>
      <c r="AG131" s="10"/>
      <c r="AH131" s="23"/>
      <c r="AI131" s="12"/>
      <c r="AJ131" s="12"/>
      <c r="AK131" s="12"/>
      <c r="AL131" s="10"/>
      <c r="AM131" s="10"/>
      <c r="AN131" s="10"/>
      <c r="AO131" s="10"/>
      <c r="AP131" s="10"/>
    </row>
    <row r="132" spans="1:42"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row>
    <row r="133" spans="1:42"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row>
    <row r="134" spans="1:42"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row>
    <row r="135" spans="1:42"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row>
    <row r="136" spans="1:42"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row>
    <row r="137" spans="1:42"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row>
    <row r="138" spans="1:42"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row>
    <row r="139" spans="1:42"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row>
    <row r="140" spans="1:42"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row>
    <row r="141" spans="1:42"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row>
    <row r="142" spans="1:42"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row>
    <row r="143" spans="1:42"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row>
    <row r="144" spans="1:42"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row>
    <row r="145" spans="1:42"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row>
    <row r="146" spans="1:42"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row>
    <row r="147" spans="1:42"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row>
    <row r="148" spans="1:42"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row>
    <row r="149" spans="1:42"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row>
    <row r="150" spans="1:42"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row>
    <row r="151" spans="1:42"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row>
    <row r="152" spans="1:42"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row>
    <row r="153" spans="1:42"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row>
    <row r="154" spans="1:42"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row>
    <row r="155" spans="1:42"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row>
    <row r="156" spans="1:42"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row>
    <row r="157" spans="1:42"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row>
    <row r="158" spans="1:42"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row>
    <row r="159" spans="1:42"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row>
    <row r="160" spans="1:42"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row>
    <row r="161" spans="1:42"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row>
    <row r="162" spans="1:42"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row>
    <row r="163" spans="1:42"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row>
    <row r="164" spans="1:42"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row>
    <row r="165" spans="1:42"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row>
    <row r="166" spans="1:42"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row>
    <row r="167" spans="1:42"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row>
    <row r="168" spans="1:42"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row>
    <row r="169" spans="1:42"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row>
    <row r="170" spans="1:42"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row>
    <row r="171" spans="1:42"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row>
    <row r="172" spans="1:42"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row>
    <row r="173" spans="1:42"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row>
    <row r="174" spans="1:42"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row>
    <row r="175" spans="1:42"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row>
    <row r="176" spans="1:42"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row>
    <row r="177" spans="1:42"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row>
    <row r="178" spans="1:42"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row>
    <row r="179" spans="1:42"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row>
    <row r="180" spans="1:42"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row>
    <row r="181" spans="1:42"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row>
    <row r="182" spans="1:42"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row>
    <row r="183" spans="1:42"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row>
    <row r="184" spans="1:42"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row>
    <row r="185" spans="1:42"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row>
    <row r="186" spans="1:42"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row>
    <row r="187" spans="1:42"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row>
    <row r="188" spans="1:42"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row>
    <row r="189" spans="1:42"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row>
    <row r="190" spans="1:42"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row>
    <row r="191" spans="1:42"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row>
    <row r="192" spans="1:42"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row>
    <row r="193" spans="1:42"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row>
    <row r="194" spans="1:42"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row>
    <row r="195" spans="1:42"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row>
    <row r="196" spans="1:42"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row>
    <row r="197" spans="1:42"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row>
    <row r="198" spans="1:42"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row>
    <row r="199" spans="1:42"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row>
    <row r="200" spans="1:42"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row>
    <row r="201" spans="1:42"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row>
    <row r="202" spans="1:42"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row>
    <row r="203" spans="1:42"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row>
    <row r="204" spans="1:42"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row>
    <row r="205" spans="1:42"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row>
    <row r="206" spans="1:42"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row>
    <row r="207" spans="1:42"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row>
    <row r="208" spans="1:42"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row>
    <row r="209" spans="1:42"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row>
    <row r="210" spans="1:42"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row>
    <row r="211" spans="1:42"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row>
    <row r="212" spans="1:42"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row>
    <row r="213" spans="1:42"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row>
    <row r="214" spans="1:42"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row>
    <row r="215" spans="1:42"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row>
    <row r="216" spans="1:42"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row>
    <row r="217" spans="1:42"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row>
    <row r="218" spans="1:42"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row>
    <row r="219" spans="1:42"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row>
    <row r="220" spans="1:42"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row>
    <row r="221" spans="1:42"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row>
    <row r="222" spans="1:42"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row>
    <row r="223" spans="1:42"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row>
    <row r="224" spans="1:42"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row>
    <row r="225" spans="1:42"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row>
    <row r="226" spans="1:42"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row>
    <row r="227" spans="1:42"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row>
    <row r="228" spans="1:42"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row>
    <row r="229" spans="1:42"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row>
    <row r="230" spans="1:42"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row>
    <row r="231" spans="1:42"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row>
    <row r="232" spans="1:42"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row>
    <row r="233" spans="1:42"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row>
    <row r="234" spans="1:42"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row>
    <row r="235" spans="1:42"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row>
    <row r="236" spans="1:42"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row>
    <row r="237" spans="1:42"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row>
    <row r="238" spans="1:42"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row>
    <row r="239" spans="1:42"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row>
    <row r="240" spans="1:42"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row>
    <row r="241" spans="1:42"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row>
    <row r="242" spans="1:42"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row>
    <row r="243" spans="1:42"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row>
    <row r="244" spans="1:42"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row>
    <row r="245" spans="1:42"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row>
    <row r="246" spans="1:42"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row>
    <row r="247" spans="1:42"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row>
    <row r="248" spans="1:42"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row>
    <row r="249" spans="1:42"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row>
    <row r="250" spans="1:42"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row>
    <row r="251" spans="1:42"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row>
    <row r="252" spans="1:42"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row>
    <row r="253" spans="1:42"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row>
    <row r="254" spans="1:42"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row>
    <row r="255" spans="1:42"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row>
    <row r="256" spans="1:42"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row>
    <row r="257" spans="1:42"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row>
    <row r="258" spans="1:42"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row>
    <row r="259" spans="1:42"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row>
    <row r="260" spans="1:42"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row>
    <row r="261" spans="1:42"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row>
    <row r="262" spans="1:42"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row>
    <row r="263" spans="1:42"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row>
    <row r="264" spans="1:42"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row>
    <row r="265" spans="1:42"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row>
    <row r="266" spans="1:42"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row>
    <row r="267" spans="1:42"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row>
    <row r="268" spans="1:42"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row>
    <row r="269" spans="1:42"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row>
    <row r="270" spans="1:42"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row>
    <row r="271" spans="1:42"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row>
    <row r="272" spans="1:42"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row>
    <row r="273" spans="1:42"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row>
    <row r="274" spans="1:42"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row>
    <row r="275" spans="1:42"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row>
    <row r="276" spans="1:42"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row>
    <row r="277" spans="1:42"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row>
    <row r="278" spans="1:42"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row>
    <row r="279" spans="1:42"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row>
    <row r="280" spans="1:42"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row>
    <row r="281" spans="1:42"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row>
    <row r="282" spans="1:42"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row>
    <row r="283" spans="1:42"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row>
    <row r="284" spans="1:42"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row>
    <row r="285" spans="1:42"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row>
    <row r="286" spans="1:42"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row>
    <row r="287" spans="1:42"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row>
    <row r="288" spans="1:42"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row>
    <row r="289" spans="1:42"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row>
    <row r="290" spans="1:42"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row>
    <row r="291" spans="1:42"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row>
    <row r="292" spans="1:42"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row>
    <row r="293" spans="1:42"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row>
    <row r="294" spans="1:42"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row>
    <row r="295" spans="1:42"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row>
    <row r="296" spans="1:42"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row>
    <row r="297" spans="1:42"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row>
    <row r="298" spans="1:42"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row>
    <row r="299" spans="1:42"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row>
    <row r="300" spans="1:42"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row>
    <row r="301" spans="1:42"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row>
    <row r="302" spans="1:42"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row>
    <row r="303" spans="1:42"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row>
    <row r="304" spans="1:42"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row>
    <row r="305" spans="1:42"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row>
    <row r="306" spans="1:42"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row>
    <row r="307" spans="1:42"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row>
    <row r="308" spans="1:42"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row>
    <row r="309" spans="1:42"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row>
    <row r="310" spans="1:42"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row>
    <row r="311" spans="1:42"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row>
    <row r="312" spans="1:42"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row>
    <row r="313" spans="1:42"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row>
    <row r="314" spans="1:42"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row>
    <row r="315" spans="1:42"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row>
    <row r="316" spans="1:42"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row>
    <row r="317" spans="1:42"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row>
    <row r="318" spans="1:42"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row>
    <row r="319" spans="1:42"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row>
    <row r="320" spans="1:42"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row>
    <row r="321" spans="1:42"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row>
    <row r="322" spans="1:42"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row>
    <row r="323" spans="1:42"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row>
    <row r="324" spans="1:42"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row>
    <row r="325" spans="1:42"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row>
    <row r="326" spans="1:42"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row>
    <row r="327" spans="1:42"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row>
    <row r="328" spans="1:42"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row>
    <row r="329" spans="1:42"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row>
    <row r="330" spans="1:42"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row>
    <row r="331" spans="1:42"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row>
    <row r="332" spans="1:42"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row>
    <row r="333" spans="1:42"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row>
    <row r="334" spans="1:42"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row>
    <row r="335" spans="1:42"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row>
    <row r="336" spans="1:42"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row>
    <row r="337" spans="1:42"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row>
    <row r="338" spans="1:42"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row>
    <row r="339" spans="1:42"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row>
    <row r="340" spans="1:42"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row>
    <row r="341" spans="1:42"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row>
    <row r="342" spans="1:42"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row>
    <row r="343" spans="1:42"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row>
    <row r="344" spans="1:42"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row>
    <row r="345" spans="1:42"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row>
    <row r="346" spans="1:42"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row>
    <row r="347" spans="1:42"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row>
    <row r="348" spans="1:42"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row>
    <row r="349" spans="1:42"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row>
    <row r="350" spans="1:42"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row>
    <row r="351" spans="1:42"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row>
    <row r="352" spans="1:42"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row>
    <row r="353" spans="1:42"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row>
    <row r="354" spans="1:42"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row>
    <row r="355" spans="1:42"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row>
    <row r="356" spans="1:42"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row>
    <row r="357" spans="1:42"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row>
    <row r="358" spans="1:42"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row>
    <row r="359" spans="1:42"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row>
    <row r="360" spans="1:42"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row>
    <row r="361" spans="1:42"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row>
    <row r="362" spans="1:42"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row>
    <row r="363" spans="1:42"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row>
    <row r="364" spans="1:42"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row>
    <row r="365" spans="1:42"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row>
    <row r="366" spans="1:42"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row>
    <row r="367" spans="1:42"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row>
    <row r="368" spans="1:42"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row>
    <row r="369" spans="1:42"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row>
    <row r="370" spans="1:42"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row>
    <row r="371" spans="1:42"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row>
    <row r="372" spans="1:42"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row>
    <row r="373" spans="1:42"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row>
    <row r="374" spans="1:42"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row>
    <row r="375" spans="1:42"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row>
    <row r="376" spans="1:42"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row>
    <row r="377" spans="1:42"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row>
    <row r="378" spans="1:42"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row>
    <row r="379" spans="1:42"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row>
    <row r="380" spans="1:42"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row>
    <row r="381" spans="1:42"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row>
    <row r="382" spans="1:42"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row>
    <row r="383" spans="1:42"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row>
    <row r="384" spans="1:42"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row>
    <row r="385" spans="1:42"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row>
    <row r="386" spans="1:42"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row>
    <row r="387" spans="1:42"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row>
    <row r="388" spans="1:42"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row>
    <row r="389" spans="1:42"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row>
    <row r="390" spans="1:42"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row>
    <row r="391" spans="1:42"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row>
    <row r="392" spans="1:42"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row>
    <row r="393" spans="1:42"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row>
    <row r="394" spans="1:42"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row>
    <row r="395" spans="1:42"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row>
    <row r="396" spans="1:42"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row>
    <row r="397" spans="1:42"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row>
    <row r="398" spans="1:42"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row>
    <row r="399" spans="1:42"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row>
    <row r="400" spans="1:42"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row>
    <row r="401" spans="1:42"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row>
    <row r="402" spans="1:42"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row>
    <row r="403" spans="1:42"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row>
    <row r="404" spans="1:42"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row>
    <row r="405" spans="1:42"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row>
    <row r="406" spans="1:42"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row>
    <row r="407" spans="1:42"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row>
    <row r="408" spans="1:42"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row>
    <row r="409" spans="1:42"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row>
    <row r="410" spans="1:42"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row>
    <row r="411" spans="1:42"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row>
    <row r="412" spans="1:42"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row>
    <row r="413" spans="1:42"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row>
    <row r="414" spans="1:42"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row>
    <row r="415" spans="1:42"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row>
    <row r="416" spans="1:42"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row>
    <row r="417" spans="1:42"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row>
    <row r="418" spans="1:42"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row>
    <row r="419" spans="1:42"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row>
    <row r="420" spans="1:42"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row>
    <row r="421" spans="1:42"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row>
    <row r="422" spans="1:42"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row>
    <row r="423" spans="1:42"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row>
    <row r="424" spans="1:42"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row>
    <row r="425" spans="1:42"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row>
    <row r="426" spans="1:42"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row>
    <row r="427" spans="1:42"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row>
    <row r="428" spans="1:42"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row>
    <row r="429" spans="1:42"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row>
    <row r="430" spans="1:42"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row>
    <row r="431" spans="1:42"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row>
    <row r="432" spans="1:42"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row>
    <row r="433" spans="1:42"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row>
    <row r="434" spans="1:42"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row>
    <row r="435" spans="1:42"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row>
    <row r="436" spans="1:42"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row>
    <row r="437" spans="1:42"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row>
    <row r="438" spans="1:42"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row>
    <row r="439" spans="1:42"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row>
    <row r="440" spans="1:42"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row>
    <row r="441" spans="1:42"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row>
    <row r="442" spans="1:42"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row>
    <row r="443" spans="1:42"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row>
    <row r="444" spans="1:42"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row>
    <row r="445" spans="1:42"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row>
    <row r="446" spans="1:42"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row>
    <row r="447" spans="1:42"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row>
    <row r="448" spans="1:42"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row>
    <row r="449" spans="1:42"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row>
    <row r="450" spans="1:42"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row>
    <row r="451" spans="1:42"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row>
    <row r="452" spans="1:42"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row>
    <row r="453" spans="1:42"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row>
    <row r="454" spans="1:42"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row>
    <row r="455" spans="1:42"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row>
    <row r="456" spans="1:42"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row>
    <row r="457" spans="1:42"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row>
    <row r="458" spans="1:42"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row>
    <row r="459" spans="1:42"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row>
    <row r="460" spans="1:42"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row>
    <row r="461" spans="1:42"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row>
    <row r="462" spans="1:42"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row>
    <row r="463" spans="1:42"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row>
    <row r="464" spans="1:42"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row>
    <row r="465" spans="1:42"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row>
    <row r="466" spans="1:42"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row>
    <row r="467" spans="1:42"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row>
    <row r="468" spans="1:42"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row>
    <row r="469" spans="1:42"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row>
    <row r="470" spans="1:42"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row>
    <row r="471" spans="1:42"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row>
    <row r="472" spans="1:42"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row>
    <row r="473" spans="1:42"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row>
    <row r="474" spans="1:42"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row>
    <row r="475" spans="1:42"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row>
    <row r="476" spans="1:42"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row>
    <row r="477" spans="1:42"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row>
    <row r="478" spans="1:42"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row>
    <row r="479" spans="1:42"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row>
    <row r="480" spans="1:42"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row>
    <row r="481" spans="1:42"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row>
    <row r="482" spans="1:42"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row>
    <row r="483" spans="1:42"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row>
    <row r="484" spans="1:42"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row>
    <row r="485" spans="1:42"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row>
    <row r="486" spans="1:42"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row>
    <row r="487" spans="1:42"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row>
    <row r="488" spans="1:42"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row>
    <row r="489" spans="1:42"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row>
    <row r="490" spans="1:42"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row>
    <row r="491" spans="1:42"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row>
    <row r="492" spans="1:42"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row>
    <row r="493" spans="1:42"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row>
    <row r="494" spans="1:42"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row>
    <row r="495" spans="1:42"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row>
    <row r="496" spans="1:42"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row>
    <row r="497" spans="1:42"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row>
    <row r="498" spans="1:42"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row>
    <row r="499" spans="1:42"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row>
    <row r="500" spans="1:42"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row>
    <row r="501" spans="1:42"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row>
    <row r="502" spans="1:42"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row>
    <row r="503" spans="1:42"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row>
    <row r="504" spans="1:42"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row>
    <row r="505" spans="1:42"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row>
    <row r="506" spans="1:42"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row>
    <row r="507" spans="1:42"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row>
    <row r="508" spans="1:42"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row>
    <row r="509" spans="1:42"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row>
    <row r="510" spans="1:42"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row>
    <row r="511" spans="1:42"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row>
    <row r="512" spans="1:42"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row>
    <row r="513" spans="1:42"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row>
    <row r="514" spans="1:42"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row>
    <row r="515" spans="1:42"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row>
    <row r="516" spans="1:42"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row>
    <row r="517" spans="1:42"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row>
    <row r="518" spans="1:42"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row>
    <row r="519" spans="1:42"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row>
    <row r="520" spans="1:42"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row>
    <row r="521" spans="1:42"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row>
    <row r="522" spans="1:42"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row>
    <row r="523" spans="1:42"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row>
    <row r="524" spans="1:42"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row>
    <row r="525" spans="1:42"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row>
    <row r="526" spans="1:42"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row>
    <row r="527" spans="1:42"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row>
    <row r="528" spans="1:42"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row>
    <row r="529" spans="1:42"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row>
    <row r="530" spans="1:42"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row>
    <row r="531" spans="1:42"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row>
    <row r="532" spans="1:42"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row>
    <row r="533" spans="1:42"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row>
    <row r="534" spans="1:42"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row>
    <row r="535" spans="1:42"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row>
    <row r="536" spans="1:42"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row>
    <row r="537" spans="1:42"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row>
    <row r="538" spans="1:42"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row>
    <row r="539" spans="1:42"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row>
    <row r="540" spans="1:42"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row>
    <row r="541" spans="1:42"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row>
    <row r="542" spans="1:42"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row>
    <row r="543" spans="1:42"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row>
    <row r="544" spans="1:42"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row>
    <row r="545" spans="1:42"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row>
    <row r="546" spans="1:42"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row>
    <row r="547" spans="1:42"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row>
    <row r="548" spans="1:42"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row>
    <row r="549" spans="1:42"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row>
    <row r="550" spans="1:42"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row>
    <row r="551" spans="1:42"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row>
    <row r="552" spans="1:42"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row>
    <row r="553" spans="1:42"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row>
    <row r="554" spans="1:42"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row>
    <row r="555" spans="1:42"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row>
    <row r="556" spans="1:42"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row>
    <row r="557" spans="1:42"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row>
    <row r="558" spans="1:42"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row>
    <row r="559" spans="1:42"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row>
    <row r="560" spans="1:42"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row>
    <row r="561" spans="1:42"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row>
    <row r="562" spans="1:42"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row>
    <row r="563" spans="1:42"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row>
    <row r="564" spans="1:42"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row>
    <row r="565" spans="1:42"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row>
    <row r="566" spans="1:42"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row>
    <row r="567" spans="1:42"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row>
    <row r="568" spans="1:42"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row>
    <row r="569" spans="1:42"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row>
    <row r="570" spans="1:42"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row>
    <row r="571" spans="1:42"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row>
    <row r="572" spans="1:42"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row>
    <row r="573" spans="1:42"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row>
    <row r="574" spans="1:42"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row>
    <row r="575" spans="1:42"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row>
    <row r="576" spans="1:42"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row>
    <row r="577" spans="1:42"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row>
    <row r="578" spans="1:42"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row>
    <row r="579" spans="1:42"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row>
    <row r="580" spans="1:42"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row>
    <row r="581" spans="1:42"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row>
    <row r="582" spans="1:42"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row>
    <row r="583" spans="1:42"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row>
    <row r="584" spans="1:42"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row>
    <row r="585" spans="1:42"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row>
    <row r="586" spans="1:42"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row>
    <row r="587" spans="1:42"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row>
    <row r="588" spans="1:42"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row>
    <row r="589" spans="1:42"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row>
    <row r="590" spans="1:42"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row>
    <row r="591" spans="1:42"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row>
    <row r="592" spans="1:42"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row>
    <row r="593" spans="1:42"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row>
    <row r="594" spans="1:42"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row>
    <row r="595" spans="1:42"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row>
    <row r="596" spans="1:42"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row>
    <row r="597" spans="1:42"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row>
    <row r="598" spans="1:42"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row>
    <row r="599" spans="1:42"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row>
    <row r="600" spans="1:42"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row>
    <row r="601" spans="1:42"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row>
    <row r="602" spans="1:42"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row>
    <row r="603" spans="1:42"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row>
    <row r="604" spans="1:42"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row>
    <row r="605" spans="1:42"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row>
    <row r="606" spans="1:42"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row>
    <row r="607" spans="1:42"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row>
    <row r="608" spans="1:42"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row>
    <row r="609" spans="1:42"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row>
    <row r="610" spans="1:42"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row>
    <row r="611" spans="1:42"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row>
    <row r="612" spans="1:42"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row>
    <row r="613" spans="1:42"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row>
    <row r="614" spans="1:42"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row>
    <row r="615" spans="1:42"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row>
    <row r="616" spans="1:42"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row>
    <row r="617" spans="1:42"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row>
    <row r="618" spans="1:42"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row>
    <row r="619" spans="1:42"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row>
    <row r="620" spans="1:42"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row>
    <row r="621" spans="1:42"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row>
    <row r="622" spans="1:42"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row>
    <row r="623" spans="1:42"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row>
    <row r="624" spans="1:42"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row>
    <row r="625" spans="1:42"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row>
    <row r="626" spans="1:42"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row>
    <row r="627" spans="1:42"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row>
    <row r="628" spans="1:42"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row>
    <row r="629" spans="1:42"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row>
    <row r="630" spans="1:42"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row>
    <row r="631" spans="1:42"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row>
    <row r="632" spans="1:42"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row>
    <row r="633" spans="1:42"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row>
    <row r="634" spans="1:42"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row>
    <row r="635" spans="1:42"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row>
    <row r="636" spans="1:42"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row>
    <row r="637" spans="1:42"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row>
    <row r="638" spans="1:42"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row>
    <row r="639" spans="1:42"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row>
    <row r="640" spans="1:42"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row>
    <row r="641" spans="1:42"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row>
    <row r="642" spans="1:42"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row>
    <row r="643" spans="1:42"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row>
    <row r="644" spans="1:42"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row>
    <row r="645" spans="1:42"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row>
    <row r="646" spans="1:42"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row>
    <row r="647" spans="1:42"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row>
    <row r="648" spans="1:42"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row>
    <row r="649" spans="1:42"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row>
    <row r="650" spans="1:42"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row>
    <row r="651" spans="1:42"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row>
    <row r="652" spans="1:42"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row>
    <row r="653" spans="1:42"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row>
    <row r="654" spans="1:42"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row>
    <row r="655" spans="1:42"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row>
    <row r="656" spans="1:42"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row>
    <row r="657" spans="1:42"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row>
    <row r="658" spans="1:42"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row>
    <row r="659" spans="1:42"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row>
    <row r="660" spans="1:42"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row>
    <row r="661" spans="1:42"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row>
    <row r="662" spans="1:42"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row>
    <row r="663" spans="1:42"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row>
    <row r="664" spans="1:42"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row>
    <row r="665" spans="1:42"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row>
    <row r="666" spans="1:42"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row>
    <row r="667" spans="1:42"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row>
    <row r="668" spans="1:42"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row>
    <row r="669" spans="1:42"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row>
    <row r="670" spans="1:42"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row>
    <row r="671" spans="1:42"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row>
    <row r="672" spans="1:42"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row>
    <row r="673" spans="1:42"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row>
    <row r="674" spans="1:42"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row>
    <row r="675" spans="1:42"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row>
    <row r="676" spans="1:42"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row>
    <row r="677" spans="1:42"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row>
    <row r="678" spans="1:42"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row>
    <row r="679" spans="1:42"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row>
    <row r="680" spans="1:42"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row>
    <row r="681" spans="1:42"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row>
    <row r="682" spans="1:42"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row>
    <row r="683" spans="1:42"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row>
    <row r="684" spans="1:42"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row>
    <row r="685" spans="1:42"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row>
    <row r="686" spans="1:42"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row>
    <row r="687" spans="1:42"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row>
    <row r="688" spans="1:42"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row>
    <row r="689" spans="1:42"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row>
    <row r="690" spans="1:42"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row>
    <row r="691" spans="1:42"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row>
    <row r="692" spans="1:42"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row>
    <row r="693" spans="1:42"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row>
    <row r="694" spans="1:42"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row>
    <row r="695" spans="1:42"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row>
    <row r="696" spans="1:42"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row>
    <row r="697" spans="1:42"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row>
    <row r="698" spans="1:42"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row>
    <row r="699" spans="1:42"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row>
    <row r="700" spans="1:42"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row>
    <row r="701" spans="1:42"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row>
    <row r="702" spans="1:42"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row>
    <row r="703" spans="1:42"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row>
    <row r="704" spans="1:42"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row>
    <row r="705" spans="1:42"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row>
    <row r="706" spans="1:42"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row>
    <row r="707" spans="1:42"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row>
    <row r="708" spans="1:42"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row>
    <row r="709" spans="1:42"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row>
    <row r="710" spans="1:42"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row>
    <row r="711" spans="1:42"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row>
    <row r="712" spans="1:42"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row>
    <row r="713" spans="1:42"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row>
    <row r="714" spans="1:42"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row>
    <row r="715" spans="1:42"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row>
    <row r="716" spans="1:42"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row>
    <row r="717" spans="1:42"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row>
    <row r="718" spans="1:42"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row>
    <row r="719" spans="1:42"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row>
    <row r="720" spans="1:42"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row>
    <row r="721" spans="1:42"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row>
    <row r="722" spans="1:42"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row>
    <row r="723" spans="1:42"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row>
    <row r="724" spans="1:42"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row>
    <row r="725" spans="1:42"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row>
    <row r="726" spans="1:42"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row>
    <row r="727" spans="1:42"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row>
    <row r="728" spans="1:42"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row>
    <row r="729" spans="1:42"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row>
    <row r="730" spans="1:42"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row>
    <row r="731" spans="1:42"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row>
    <row r="732" spans="1:42"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row>
    <row r="733" spans="1:42"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row>
    <row r="734" spans="1:42"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row>
    <row r="735" spans="1:42"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row>
    <row r="736" spans="1:42"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row>
    <row r="737" spans="1:42"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row>
    <row r="738" spans="1:42"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row>
    <row r="739" spans="1:42"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row>
    <row r="740" spans="1:42"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row>
    <row r="741" spans="1:42"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row>
    <row r="742" spans="1:42"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row>
    <row r="743" spans="1:42"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row>
    <row r="744" spans="1:42"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row>
    <row r="745" spans="1:42"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row>
    <row r="746" spans="1:42"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row>
    <row r="747" spans="1:42"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row>
    <row r="748" spans="1:42"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row>
    <row r="749" spans="1:42"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row>
    <row r="750" spans="1:42"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row>
    <row r="751" spans="1:42"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row>
    <row r="752" spans="1:42"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row>
    <row r="753" spans="1:42"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row>
    <row r="754" spans="1:42"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row>
    <row r="755" spans="1:42"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row>
    <row r="756" spans="1:42"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row>
    <row r="757" spans="1:42"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row>
    <row r="758" spans="1:42"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row>
    <row r="759" spans="1:42"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row>
    <row r="760" spans="1:42"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row>
    <row r="761" spans="1:42"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row>
    <row r="762" spans="1:42"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row>
    <row r="763" spans="1:42"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row>
    <row r="764" spans="1:42"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row>
    <row r="765" spans="1:42"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row>
    <row r="766" spans="1:42"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row>
    <row r="767" spans="1:42"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row>
    <row r="768" spans="1:42"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row>
    <row r="769" spans="1:42"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row>
    <row r="770" spans="1:42"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row>
    <row r="771" spans="1:42"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row>
    <row r="772" spans="1:42"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row>
    <row r="773" spans="1:42"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row>
    <row r="774" spans="1:42"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row>
    <row r="775" spans="1:42"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row>
    <row r="776" spans="1:42"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row>
    <row r="777" spans="1:42"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row>
    <row r="778" spans="1:42"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row>
    <row r="779" spans="1:42"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row>
    <row r="780" spans="1:42"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row>
    <row r="781" spans="1:42"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row>
    <row r="782" spans="1:42"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row>
    <row r="783" spans="1:42"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row>
    <row r="784" spans="1:42"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row>
    <row r="785" spans="1:42"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row>
    <row r="786" spans="1:42"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row>
    <row r="787" spans="1:42"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row>
    <row r="788" spans="1:42"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row>
    <row r="789" spans="1:42"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row>
    <row r="790" spans="1:42"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row>
    <row r="791" spans="1:42"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row>
    <row r="792" spans="1:42"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row>
    <row r="793" spans="1:42"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row>
    <row r="794" spans="1:42"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row>
    <row r="795" spans="1:42"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row>
    <row r="796" spans="1:42"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row>
    <row r="797" spans="1:42"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row>
    <row r="798" spans="1:42"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row>
    <row r="799" spans="1:42"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row>
    <row r="800" spans="1:42"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row>
    <row r="801" spans="1:42"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row>
    <row r="802" spans="1:42"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row>
    <row r="803" spans="1:42"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row>
    <row r="804" spans="1:42"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row>
    <row r="805" spans="1:42"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row>
    <row r="806" spans="1:42"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row>
    <row r="807" spans="1:42"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row>
    <row r="808" spans="1:42"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row>
    <row r="809" spans="1:42"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row>
    <row r="810" spans="1:42"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row>
    <row r="811" spans="1:42"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row>
    <row r="812" spans="1:42"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row>
    <row r="813" spans="1:42"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row>
    <row r="814" spans="1:42"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row>
    <row r="815" spans="1:42"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row>
    <row r="816" spans="1:42"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row>
    <row r="817" spans="1:42"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row>
    <row r="818" spans="1:42"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row>
    <row r="819" spans="1:42"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row>
    <row r="820" spans="1:42"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row>
    <row r="821" spans="1:42"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row>
    <row r="822" spans="1:42"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row>
    <row r="823" spans="1:42"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row>
    <row r="824" spans="1:42"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row>
    <row r="825" spans="1:42"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row>
    <row r="826" spans="1:42"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row>
    <row r="827" spans="1:42"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row>
    <row r="828" spans="1:42"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row>
    <row r="829" spans="1:42"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row>
    <row r="830" spans="1:42"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row>
    <row r="831" spans="1:42"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row>
    <row r="832" spans="1:42"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row>
    <row r="833" spans="1:42"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row>
    <row r="834" spans="1:42"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row>
    <row r="835" spans="1:42"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row>
    <row r="836" spans="1:42"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row>
    <row r="837" spans="1:42"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row>
    <row r="838" spans="1:42"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row>
    <row r="839" spans="1:42"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row>
    <row r="840" spans="1:42"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row>
    <row r="841" spans="1:42"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row>
    <row r="842" spans="1:42"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row>
    <row r="843" spans="1:42"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row>
    <row r="844" spans="1:42"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row>
    <row r="845" spans="1:42"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row>
    <row r="846" spans="1:42"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row>
    <row r="847" spans="1:42"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row>
    <row r="848" spans="1:42"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row>
    <row r="849" spans="1:42"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row>
    <row r="850" spans="1:42"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row>
    <row r="851" spans="1:42"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row>
    <row r="852" spans="1:42"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row>
    <row r="853" spans="1:42"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row>
    <row r="854" spans="1:42"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row>
    <row r="855" spans="1:42"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row>
    <row r="856" spans="1:42"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row>
    <row r="857" spans="1:42"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row>
    <row r="858" spans="1:42"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row>
    <row r="859" spans="1:42"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row>
    <row r="860" spans="1:42"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row>
    <row r="861" spans="1:42"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row>
    <row r="862" spans="1:42"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row>
    <row r="863" spans="1:42"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row>
    <row r="864" spans="1:42"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row>
    <row r="865" spans="1:42"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row>
    <row r="866" spans="1:42"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row>
    <row r="867" spans="1:42"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row>
    <row r="868" spans="1:42"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row>
    <row r="869" spans="1:42"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row>
    <row r="870" spans="1:42"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row>
    <row r="871" spans="1:42"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row>
    <row r="872" spans="1:42"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row>
    <row r="873" spans="1:42"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row>
    <row r="874" spans="1:42"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row>
    <row r="875" spans="1:42"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row>
    <row r="876" spans="1:42"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row>
    <row r="877" spans="1:42"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row>
    <row r="878" spans="1:42"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row>
    <row r="879" spans="1:42"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row>
    <row r="880" spans="1:42"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row>
    <row r="881" spans="1:42"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row>
    <row r="882" spans="1:42"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row>
    <row r="883" spans="1:42"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row>
    <row r="884" spans="1:42"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row>
    <row r="885" spans="1:42"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row>
    <row r="886" spans="1:42"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row>
    <row r="887" spans="1:42"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row>
    <row r="888" spans="1:42"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row>
    <row r="889" spans="1:42"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row>
    <row r="890" spans="1:42"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row>
    <row r="891" spans="1:42"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row>
    <row r="892" spans="1:42"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row>
    <row r="893" spans="1:42"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row>
    <row r="894" spans="1:42"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row>
    <row r="895" spans="1:42"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row>
    <row r="896" spans="1:42"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row>
    <row r="897" spans="1:42"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row>
    <row r="898" spans="1:42"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row>
    <row r="899" spans="1:42"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row>
    <row r="900" spans="1:42"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row>
    <row r="901" spans="1:42"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row>
    <row r="902" spans="1:42"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row>
    <row r="903" spans="1:42"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row>
    <row r="904" spans="1:42"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row>
    <row r="905" spans="1:42"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row>
    <row r="906" spans="1:42"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row>
    <row r="907" spans="1:42"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row>
    <row r="908" spans="1:42"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row>
    <row r="909" spans="1:42"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row>
    <row r="910" spans="1:42"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row>
    <row r="911" spans="1:42"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row>
    <row r="912" spans="1:42"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row>
    <row r="913" spans="1:42"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row>
    <row r="914" spans="1:42"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row>
    <row r="915" spans="1:42"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row>
    <row r="916" spans="1:42"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row>
    <row r="917" spans="1:42"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row>
    <row r="918" spans="1:42"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row>
    <row r="919" spans="1:42"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row>
    <row r="920" spans="1:42"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row>
    <row r="921" spans="1:42"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row>
    <row r="922" spans="1:42"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row>
    <row r="923" spans="1:42"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row>
    <row r="924" spans="1:42"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row>
    <row r="925" spans="1:42"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row>
    <row r="926" spans="1:42"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row>
    <row r="927" spans="1:42"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row>
    <row r="928" spans="1:42"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row>
    <row r="929" spans="1:42"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row>
    <row r="930" spans="1:42"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row>
    <row r="931" spans="1:42"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row>
    <row r="932" spans="1:42"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row>
    <row r="933" spans="1:42"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row>
    <row r="934" spans="1:42"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row>
    <row r="935" spans="1:42"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row>
    <row r="936" spans="1:42"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row>
    <row r="937" spans="1:42"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row>
    <row r="938" spans="1:42"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row>
    <row r="939" spans="1:42"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row>
    <row r="940" spans="1:42"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row>
    <row r="941" spans="1:42"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row>
    <row r="942" spans="1:42"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row>
    <row r="943" spans="1:42"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row>
    <row r="944" spans="1:42"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row>
    <row r="945" spans="1:42"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row>
    <row r="946" spans="1:42"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row>
    <row r="947" spans="1:42"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row>
    <row r="948" spans="1:42"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row>
    <row r="949" spans="1:42"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row>
    <row r="950" spans="1:42"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row>
    <row r="951" spans="1:42"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row>
    <row r="952" spans="1:42"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row>
    <row r="953" spans="1:42"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row>
    <row r="954" spans="1:42"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row>
    <row r="955" spans="1:42"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row>
    <row r="956" spans="1:42"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row>
    <row r="957" spans="1:42"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row>
    <row r="958" spans="1:42"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row>
    <row r="959" spans="1:42"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row>
    <row r="960" spans="1:42"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row>
    <row r="961" spans="1:42"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row>
    <row r="962" spans="1:42"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row>
    <row r="963" spans="1:42"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row>
    <row r="964" spans="1:42"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row>
    <row r="965" spans="1:42"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row>
    <row r="966" spans="1:42"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row>
    <row r="967" spans="1:42"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row>
    <row r="968" spans="1:42"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row>
    <row r="969" spans="1:42"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row>
    <row r="970" spans="1:42"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row>
    <row r="971" spans="1:42"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row>
    <row r="972" spans="1:42"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row>
    <row r="973" spans="1:42"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row>
    <row r="974" spans="1:42"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row>
    <row r="975" spans="1:42"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row>
    <row r="976" spans="1:42"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row>
    <row r="977" spans="1:42"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row>
    <row r="978" spans="1:42"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row>
    <row r="979" spans="1:42"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row>
    <row r="980" spans="1:42"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row>
    <row r="981" spans="1:42"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row>
    <row r="982" spans="1:42"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row>
    <row r="983" spans="1:42"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row>
    <row r="984" spans="1:42"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row>
    <row r="985" spans="1:42"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row>
    <row r="986" spans="1:42"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row>
    <row r="987" spans="1:42"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row>
    <row r="988" spans="1:42"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row>
    <row r="989" spans="1:42"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row>
    <row r="990" spans="1:42"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row>
    <row r="991" spans="1:42"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row>
    <row r="992" spans="1:42"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row>
    <row r="993" spans="1:42"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row>
    <row r="994" spans="1:42"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row>
    <row r="995" spans="1:42"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row>
    <row r="996" spans="1:42"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row>
    <row r="997" spans="1:42"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row>
    <row r="998" spans="1:42"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row>
    <row r="999" spans="1:42"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row>
    <row r="1000" spans="1:42"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row>
    <row r="1001" spans="1:42"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row>
    <row r="1002" spans="1:42"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row>
    <row r="1003" spans="1:42"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row>
    <row r="1004" spans="1:42"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row>
    <row r="1005" spans="1:42"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row>
    <row r="1006" spans="1:42"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row>
    <row r="1007" spans="1:42"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row>
    <row r="1008" spans="1:42"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row>
    <row r="1009" spans="1:42"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row>
    <row r="1010" spans="1:42"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row>
    <row r="1011" spans="1:42"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row>
    <row r="1012" spans="1:42"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row>
    <row r="1013" spans="1:42"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row>
    <row r="1014" spans="1:42"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row>
    <row r="1015" spans="1:42"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row>
    <row r="1016" spans="1:42"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row>
    <row r="1017" spans="1:42"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row>
    <row r="1018" spans="1:42"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row>
    <row r="1019" spans="1:42"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row>
    <row r="1020" spans="1:42" x14ac:dyDescent="0.2">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row>
    <row r="1021" spans="1:42" x14ac:dyDescent="0.2">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row>
    <row r="1022" spans="1:42" x14ac:dyDescent="0.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row>
    <row r="1023" spans="1:42" x14ac:dyDescent="0.2">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row>
    <row r="1024" spans="1:42" x14ac:dyDescent="0.2">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row>
    <row r="1025" spans="1:42" x14ac:dyDescent="0.2">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row>
    <row r="1026" spans="1:42" x14ac:dyDescent="0.2">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row>
    <row r="1027" spans="1:42" x14ac:dyDescent="0.2">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row>
    <row r="1028" spans="1:42" x14ac:dyDescent="0.2">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row>
    <row r="1029" spans="1:42" x14ac:dyDescent="0.2">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row>
    <row r="1030" spans="1:42" x14ac:dyDescent="0.2">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row>
    <row r="1031" spans="1:42" x14ac:dyDescent="0.2">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row>
    <row r="1032" spans="1:42" x14ac:dyDescent="0.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row>
    <row r="1033" spans="1:42" x14ac:dyDescent="0.2">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row>
    <row r="1034" spans="1:42" x14ac:dyDescent="0.2">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row>
    <row r="1035" spans="1:42" x14ac:dyDescent="0.2">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row>
    <row r="1036" spans="1:42" x14ac:dyDescent="0.2">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row>
    <row r="1037" spans="1:42" x14ac:dyDescent="0.2">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row>
    <row r="1038" spans="1:42" x14ac:dyDescent="0.2">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row>
    <row r="1039" spans="1:42" x14ac:dyDescent="0.2">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row>
    <row r="1040" spans="1:42" x14ac:dyDescent="0.2">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row>
    <row r="1041" spans="1:42" x14ac:dyDescent="0.2">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row>
    <row r="1042" spans="1:42" x14ac:dyDescent="0.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row>
    <row r="1043" spans="1:42" x14ac:dyDescent="0.2">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row>
    <row r="1044" spans="1:42" x14ac:dyDescent="0.2">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row>
    <row r="1045" spans="1:42" x14ac:dyDescent="0.2">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row>
    <row r="1046" spans="1:42" x14ac:dyDescent="0.2">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row>
    <row r="1047" spans="1:42" x14ac:dyDescent="0.2">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row>
    <row r="1048" spans="1:42" x14ac:dyDescent="0.2">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row>
    <row r="1049" spans="1:42" x14ac:dyDescent="0.2">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row>
  </sheetData>
  <mergeCells count="143">
    <mergeCell ref="A128:A131"/>
    <mergeCell ref="B128:B131"/>
    <mergeCell ref="C128:C131"/>
    <mergeCell ref="D128:D131"/>
    <mergeCell ref="E128:E131"/>
    <mergeCell ref="E88:E92"/>
    <mergeCell ref="B93:B96"/>
    <mergeCell ref="E93:E96"/>
    <mergeCell ref="A93:A96"/>
    <mergeCell ref="A97:A99"/>
    <mergeCell ref="B97:B99"/>
    <mergeCell ref="B100:B105"/>
    <mergeCell ref="C100:C105"/>
    <mergeCell ref="D100:D105"/>
    <mergeCell ref="E100:E105"/>
    <mergeCell ref="A117:A119"/>
    <mergeCell ref="B117:B119"/>
    <mergeCell ref="C117:C119"/>
    <mergeCell ref="D117:D119"/>
    <mergeCell ref="E117:E119"/>
    <mergeCell ref="B120:B121"/>
    <mergeCell ref="E120:E121"/>
    <mergeCell ref="D125:D127"/>
    <mergeCell ref="E125:E127"/>
    <mergeCell ref="A120:A121"/>
    <mergeCell ref="A122:A124"/>
    <mergeCell ref="B122:B124"/>
    <mergeCell ref="C122:C124"/>
    <mergeCell ref="D122:D124"/>
    <mergeCell ref="E122:E124"/>
    <mergeCell ref="A125:A127"/>
    <mergeCell ref="B125:B127"/>
    <mergeCell ref="C125:C127"/>
    <mergeCell ref="A106:A109"/>
    <mergeCell ref="B106:B109"/>
    <mergeCell ref="C106:C109"/>
    <mergeCell ref="D106:D109"/>
    <mergeCell ref="E106:E109"/>
    <mergeCell ref="A110:A112"/>
    <mergeCell ref="B110:B112"/>
    <mergeCell ref="C110:C112"/>
    <mergeCell ref="A113:A116"/>
    <mergeCell ref="B113:B116"/>
    <mergeCell ref="C113:C116"/>
    <mergeCell ref="D113:D116"/>
    <mergeCell ref="E113:E116"/>
    <mergeCell ref="D110:D112"/>
    <mergeCell ref="E110:E112"/>
    <mergeCell ref="A2:A12"/>
    <mergeCell ref="A13:A16"/>
    <mergeCell ref="A34:A50"/>
    <mergeCell ref="A59:A66"/>
    <mergeCell ref="A67:A74"/>
    <mergeCell ref="A75:A83"/>
    <mergeCell ref="K13:K16"/>
    <mergeCell ref="A17:A33"/>
    <mergeCell ref="A100:A105"/>
    <mergeCell ref="C75:C80"/>
    <mergeCell ref="D75:D80"/>
    <mergeCell ref="B67:B69"/>
    <mergeCell ref="C67:C69"/>
    <mergeCell ref="D67:D69"/>
    <mergeCell ref="E67:E69"/>
    <mergeCell ref="B75:B80"/>
    <mergeCell ref="C93:C96"/>
    <mergeCell ref="D93:D96"/>
    <mergeCell ref="C97:C99"/>
    <mergeCell ref="D97:D99"/>
    <mergeCell ref="E97:E99"/>
    <mergeCell ref="A88:A92"/>
    <mergeCell ref="B88:B92"/>
    <mergeCell ref="C88:C92"/>
    <mergeCell ref="A51:A58"/>
    <mergeCell ref="E75:E80"/>
    <mergeCell ref="G75:G76"/>
    <mergeCell ref="H75:H76"/>
    <mergeCell ref="G77:G78"/>
    <mergeCell ref="H77:H78"/>
    <mergeCell ref="G79:G80"/>
    <mergeCell ref="H79:H80"/>
    <mergeCell ref="A84:A87"/>
    <mergeCell ref="B84:B87"/>
    <mergeCell ref="C84:C87"/>
    <mergeCell ref="D84:D87"/>
    <mergeCell ref="E84:E87"/>
    <mergeCell ref="H86:H87"/>
    <mergeCell ref="K113:K116"/>
    <mergeCell ref="K120:K121"/>
    <mergeCell ref="K122:K124"/>
    <mergeCell ref="H52:H53"/>
    <mergeCell ref="H54:H55"/>
    <mergeCell ref="H59:H61"/>
    <mergeCell ref="H62:H63"/>
    <mergeCell ref="K59:K66"/>
    <mergeCell ref="B34:B39"/>
    <mergeCell ref="C34:C39"/>
    <mergeCell ref="B59:B66"/>
    <mergeCell ref="C59:C66"/>
    <mergeCell ref="D34:D39"/>
    <mergeCell ref="E34:E39"/>
    <mergeCell ref="D59:D66"/>
    <mergeCell ref="E59:E66"/>
    <mergeCell ref="B51:B55"/>
    <mergeCell ref="C51:C55"/>
    <mergeCell ref="D51:D55"/>
    <mergeCell ref="E51:E55"/>
    <mergeCell ref="K84:K87"/>
    <mergeCell ref="C120:C121"/>
    <mergeCell ref="D120:D121"/>
    <mergeCell ref="D88:D92"/>
    <mergeCell ref="H129:H130"/>
    <mergeCell ref="G86:G87"/>
    <mergeCell ref="G88:G89"/>
    <mergeCell ref="H88:H89"/>
    <mergeCell ref="K88:K92"/>
    <mergeCell ref="H90:H91"/>
    <mergeCell ref="K93:K96"/>
    <mergeCell ref="H100:H101"/>
    <mergeCell ref="G123:G124"/>
    <mergeCell ref="G126:G127"/>
    <mergeCell ref="G129:G130"/>
    <mergeCell ref="G90:G91"/>
    <mergeCell ref="G100:G101"/>
    <mergeCell ref="G102:G103"/>
    <mergeCell ref="G104:G105"/>
    <mergeCell ref="G108:G109"/>
    <mergeCell ref="G114:G116"/>
    <mergeCell ref="G118:G119"/>
    <mergeCell ref="K125:K127"/>
    <mergeCell ref="K128:K131"/>
    <mergeCell ref="K97:K99"/>
    <mergeCell ref="K100:K105"/>
    <mergeCell ref="K106:K109"/>
    <mergeCell ref="K110:K112"/>
    <mergeCell ref="G94:G95"/>
    <mergeCell ref="H94:H95"/>
    <mergeCell ref="H102:H103"/>
    <mergeCell ref="H104:H105"/>
    <mergeCell ref="H108:H109"/>
    <mergeCell ref="H114:H116"/>
    <mergeCell ref="H118:H119"/>
    <mergeCell ref="H123:H124"/>
    <mergeCell ref="H126:H127"/>
  </mergeCells>
  <dataValidations count="2">
    <dataValidation type="list" allowBlank="1" showErrorMessage="1" sqref="J2:J131" xr:uid="{00000000-0002-0000-0400-000000000000}">
      <formula1>"Crédito de fomento y liquidez a tasas preferenciales,Fideicomisos y patrimonios autónomos fiduciarios,Capital semilla, riesgo e incubación financiera,Subvenciones, transferencias y cofinanciamiento no reembolsable, Gestión de riesgos, garantías y microseg"&amp;"uros,Asistencia técnica, incubación y fortalecimiento de capacidades,Subvención a la demanda e incentivos individuales (Bonos / Vouchers),Incubación, mentores y aceleración de emprendimientos,Capacitación técnica, laboral y en planta,Fortalecimiento de co"&amp;"nsultores e intermediarios (ICAPs y Cámaras),Centros tecnológicos, plantas piloto y laboratorios compartid, Digitalización, plataformas informáticas e inteligencia productiva,Investigación aplicada, desarrollo de prototipos y concursos,Marcas país, regist"&amp;"ro de origen y sello de producción nacional,Preferencias comerciales e inclusión en compras estatales,Promoción comercial, ferias y eventos de mercado,Adecuación normativa e internacionalización ,Asociatividad y redes empresariales (Clusters y Núcleos), M"&amp;"esas de concertación, acuerdos e institucionalidad compartida,Infraestructura productiva, logística y equipamiento físico,Desarrollo de sistemas de mercado con enfoque social y género,Diagnósticos, auditorías ambientales y medición de impacto,conomía circ"&amp;"ular, ecoeficiencia y residuo cero,Finanzas verdes y taxonomía sostenible"</formula1>
    </dataValidation>
    <dataValidation type="list" allowBlank="1" sqref="E2:E5 E6:F7 E8:E17 E34:F34 F35 E40:E51 F55 E56:F58 E59 F61:F62 F64:F66 E67 E70:E75 F76:F80 E81:F84 F85 E88 E93 F94:F95 E97:F97 E100 F103:F105 E106 E110 E113 F114:F116 E117 E120 E122 E125 F126 E128 F129 F131" xr:uid="{00000000-0002-0000-0400-000001000000}">
      <formula1>"Asistencia técnica, incubación y fortalecimiento de capacidades,Innovación tecnológica, digitalización y productividad,Formalización, certificación, acceso a mercados e internacionalización,Articulación de cadenas, asociatividad e infraestructura producti"&amp;"va,Sostenibilidad, transición verde y economía circular, Financiamiento y crédito productivo"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Copia de Mapeo 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dc:creator>
  <cp:lastModifiedBy>Gabriela Sanjines</cp:lastModifiedBy>
  <dcterms:created xsi:type="dcterms:W3CDTF">2026-09-17T16:28:04Z</dcterms:created>
  <dcterms:modified xsi:type="dcterms:W3CDTF">2026-09-17T16:28:04Z</dcterms:modified>
</cp:coreProperties>
</file>