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Guía de mapeo (problemas)" sheetId="1" r:id="rId5"/>
    <sheet state="visible" name="Tabla de problemas e instrument" sheetId="2" r:id="rId6"/>
    <sheet state="visible" name="Recurrencia y cobertura" sheetId="3" r:id="rId7"/>
    <sheet state="visible" name="Frecuencia de instrumentos" sheetId="4" r:id="rId8"/>
    <sheet state="visible" name="Calidad y confianza" sheetId="5" r:id="rId9"/>
    <sheet state="visible" name="Info de entrevistas" sheetId="6" r:id="rId10"/>
  </sheets>
  <definedNames>
    <definedName hidden="1" localSheetId="1" name="_xlnm._FilterDatabase">'Tabla de problemas e instrument'!$A$1:$F$1000</definedName>
  </definedNames>
  <calcPr/>
</workbook>
</file>

<file path=xl/sharedStrings.xml><?xml version="1.0" encoding="utf-8"?>
<sst xmlns="http://schemas.openxmlformats.org/spreadsheetml/2006/main" count="1769" uniqueCount="802">
  <si>
    <t>Nombre del programa o instrumento</t>
  </si>
  <si>
    <t>Período de implementación</t>
  </si>
  <si>
    <t>Descripción</t>
  </si>
  <si>
    <t>Objetivo general</t>
  </si>
  <si>
    <t>Categoría principal de intervención</t>
  </si>
  <si>
    <t>Categoría(s) secundaria(s) de intervención</t>
  </si>
  <si>
    <t>Problema transversal que busca resolver</t>
  </si>
  <si>
    <t>Institución ejecutora</t>
  </si>
  <si>
    <t>Año de creación</t>
  </si>
  <si>
    <t>Años de antiguedad (vs creación)</t>
  </si>
  <si>
    <t>Columna 1</t>
  </si>
  <si>
    <t>Tipo de intervención</t>
  </si>
  <si>
    <t>Estado actual</t>
  </si>
  <si>
    <t>Tipo de instrumento</t>
  </si>
  <si>
    <t>Mecanismo de entrega</t>
  </si>
  <si>
    <t>Requisitos de acceso</t>
  </si>
  <si>
    <t>Población empresarial</t>
  </si>
  <si>
    <t>Grado de formalidad requerido</t>
  </si>
  <si>
    <t>Territorio</t>
  </si>
  <si>
    <t>Enfoque de género</t>
  </si>
  <si>
    <t>Indicadores previstos</t>
  </si>
  <si>
    <t>Número de beneficiarios (Efectivo)</t>
  </si>
  <si>
    <t>Moneda (Presupuesto)</t>
  </si>
  <si>
    <t>Presupuesto asignado</t>
  </si>
  <si>
    <t>Moneda (Costo por beneficiario)</t>
  </si>
  <si>
    <t>Costo por beneficiario</t>
  </si>
  <si>
    <t>Fuente de financiamiento</t>
  </si>
  <si>
    <t>Productos entregados</t>
  </si>
  <si>
    <t>Lecciones aprendidas</t>
  </si>
  <si>
    <t>SAT (Servicio Asistencia Técnica)</t>
  </si>
  <si>
    <t>1997-2005</t>
  </si>
  <si>
    <t>Programa estatal de capacitación y asistencia técnica para micro y pequeñas empresas manufactureras y turísticas. Funcionó mediante un sistema de bonos que otorgaba libertad de elección al productor</t>
  </si>
  <si>
    <t>Fortalecer capacidad artesanal</t>
  </si>
  <si>
    <t>Asistencia técnica, incubación y fortalecimiento de capacidades</t>
  </si>
  <si>
    <t>Gestión empresarial y habilidades gerenciales deficientes: Existían marcadas debilidades en la capacidad gerencial, contable, administrativa y de mercado en los micro y pequeños empresarios y artesanos</t>
  </si>
  <si>
    <t>Trámites y burocracia estatal: El sector industrial enfrentaba impedimentos burocráticos y procesos lentos que frenaban la modernización y la iniciativa empresarial</t>
  </si>
  <si>
    <t>Inexistencia de un mercado de servicios no financieros: Carecía un mercado transparente y competitivo de consultoría privada y capacitación adaptado a las demandas reales de las micro y pequeñas empresas</t>
  </si>
  <si>
    <t>Improvisación y elevada mortalidad de negocios: Los emprendimientos nacían con visión de corto plazo y sin acompañamiento técnico, provocando la pérdida prematura de capital</t>
  </si>
  <si>
    <t>SAT (Entidad)</t>
  </si>
  <si>
    <t>Capacitación técnica</t>
  </si>
  <si>
    <t>Concluido</t>
  </si>
  <si>
    <t>Asistencia Técnica</t>
  </si>
  <si>
    <t>Sistema de bonos</t>
  </si>
  <si>
    <t>Micro y pequeños</t>
  </si>
  <si>
    <t>Micro y Pequeña</t>
  </si>
  <si>
    <t>Industrial y Turístico</t>
  </si>
  <si>
    <t>Nacional</t>
  </si>
  <si>
    <t>Participación femenina</t>
  </si>
  <si>
    <t>93.463 personas</t>
  </si>
  <si>
    <t>USD</t>
  </si>
  <si>
    <t>Categoría de problemas</t>
  </si>
  <si>
    <t>Problema identificado (por recurrencia)</t>
  </si>
  <si>
    <t>Instrumento / herramienta</t>
  </si>
  <si>
    <t>Programa (instrumento específico)</t>
  </si>
  <si>
    <t>Calidad y confianza de la información</t>
  </si>
  <si>
    <t>2. Gestión empresarial y habilidades gerenciales deficientes</t>
  </si>
  <si>
    <t>Ranking</t>
  </si>
  <si>
    <t>Subvención a la demanda e incentivos individuales (Bonos / Vouchers)</t>
  </si>
  <si>
    <t>Sistema de Bonos subsidiados</t>
  </si>
  <si>
    <t>SAT (Servicio Asistencia Técnica) (Sistema de Bonos subsidiados)</t>
  </si>
  <si>
    <t>Categoría</t>
  </si>
  <si>
    <t>Fortalecimiento de consultores e intermediarios (ICAPs y Cámaras)</t>
  </si>
  <si>
    <t>Registro de Instituciones de Capacitación (ICAPs)</t>
  </si>
  <si>
    <t>SAT (Servicio Asistencia Técnica) (Registro de Instituciones de Capacitación (ICAPs))</t>
  </si>
  <si>
    <t>Programa "Mejorar"</t>
  </si>
  <si>
    <t>SAT (Servicio Asistencia Técnica) (Programa "Mejorar")</t>
  </si>
  <si>
    <t>Créditos IDA / BID</t>
  </si>
  <si>
    <t>Consultoría especializada</t>
  </si>
  <si>
    <t>Los bonos dan libertad de elección al productor</t>
  </si>
  <si>
    <t>4. Improvisación y elevada mortalidad de negocios</t>
  </si>
  <si>
    <t>Incubación, mentores y aceleración de emprendimientos</t>
  </si>
  <si>
    <t>Programa "Emprender"</t>
  </si>
  <si>
    <t>SAT (Servicio Asistencia Técnica) (Programa "Emprender")</t>
  </si>
  <si>
    <t>Proyectos FOMIN / BID MyPEs</t>
  </si>
  <si>
    <t>Investigación aplicada, desarrollo de prototipos y concursos</t>
  </si>
  <si>
    <t>Programa "Innovar"</t>
  </si>
  <si>
    <t>1999-2005</t>
  </si>
  <si>
    <t>SAT (Servicio Asistencia Técnica) (Programa "Innovar")</t>
  </si>
  <si>
    <t>Asociatividad y redes empresariales (Clusters y Núcleos)</t>
  </si>
  <si>
    <t>Programas "Asociar" y "Mercados"</t>
  </si>
  <si>
    <t>SAT (Servicio Asistencia Técnica) (Programas "Asociar" y "Mercados")</t>
  </si>
  <si>
    <t>6. Alta mortandad de startups tecnológicas</t>
  </si>
  <si>
    <t>Cantidad Problemas</t>
  </si>
  <si>
    <t>Bootcamps Intensivos y Mentorías Especializadas</t>
  </si>
  <si>
    <t>Fondo internacional para canalizar financiamiento y apoyo integral a micro y pequeñas empresas formales, resolviendo la escasez de crédito productivo</t>
  </si>
  <si>
    <t>Categoría analítica</t>
  </si>
  <si>
    <t>LaPazTec (Prog. Municipal) (Bootcamps Intensivos y Mentorías Especializadas)</t>
  </si>
  <si>
    <t>Evento "Pitch Elevator"</t>
  </si>
  <si>
    <t>LaPazTec (Prog. Municipal) (Evento "Pitch Elevator")</t>
  </si>
  <si>
    <t>Nº de apariciones</t>
  </si>
  <si>
    <t>% de recurrencia</t>
  </si>
  <si>
    <t>Apoyo integral MyPE</t>
  </si>
  <si>
    <t>Digitalización, plataformas informáticas e inteligencia productiva</t>
  </si>
  <si>
    <t>Créditos en Servicios de Nube de AWS</t>
  </si>
  <si>
    <t>LaPazTec (Prog. Municipal) (Créditos en Servicios de Nube de AWS)</t>
  </si>
  <si>
    <t xml:space="preserve"> Financiamiento y crédito productivo</t>
  </si>
  <si>
    <t>% del total</t>
  </si>
  <si>
    <t>Restricción y "crunch" de crédito: Las MyPEs formales enfrentaban un severo racionamiento del crédito en el sistema financiero tradicional por falta de garantías convencionales e historial bancario</t>
  </si>
  <si>
    <t>Cobertura</t>
  </si>
  <si>
    <t>Ausencia de financiamiento de largo plazo: La oferta crediticia comercial se limitaba a plazos muy cortos e intereses elevados que impedían la inversión en activos fijos</t>
  </si>
  <si>
    <t>7. Inexistencia de un mercado de servicios no financieros</t>
  </si>
  <si>
    <t>Falta de apoyo integral: Los esfuerzos de financiamiento no estaban acompañados de servicios de asistencia técnica y desarrollo empresarial para garantizar la sostenibilidad y reconversión productiva</t>
  </si>
  <si>
    <t>Nivel de recurrencia</t>
  </si>
  <si>
    <t>BDP-SAM (NAFIBO)</t>
  </si>
  <si>
    <t>Mecanismo Institucional de Tercer Piso</t>
  </si>
  <si>
    <t>SAT (Servicio Asistencia Técnica) (Mecanismo Institucional de Tercer Piso)</t>
  </si>
  <si>
    <t>Cobertura promedio</t>
  </si>
  <si>
    <t>Programa "Apoyo a la Oferta"</t>
  </si>
  <si>
    <t>SAT (Servicio Asistencia Técnica) (Programa "Apoyo a la Oferta")</t>
  </si>
  <si>
    <t>19. Deficiencias de formación técnica y gestión</t>
  </si>
  <si>
    <t>Bonos de Asistencia Técnica en Planta</t>
  </si>
  <si>
    <t>Financiamiento</t>
  </si>
  <si>
    <t>PROMYPE Fase II (Bonos de Asistencia Técnica en Planta)</t>
  </si>
  <si>
    <t>Crédito</t>
  </si>
  <si>
    <t>Intermediación</t>
  </si>
  <si>
    <t>MyPEs formales</t>
  </si>
  <si>
    <t>Diagnósticos, auditorías ambientales y medición de impacto</t>
  </si>
  <si>
    <t>Subvenciones, transferencias y cofinanciamiento no reembolsable</t>
  </si>
  <si>
    <t>Diagnósticos de Producción Más Limpia (PML)</t>
  </si>
  <si>
    <t>PROMYPE Fase II (Diagnósticos de Producción Más Limpia (PML))</t>
  </si>
  <si>
    <t>Financiamiento y crédito productivo</t>
  </si>
  <si>
    <t>600 MyPEs</t>
  </si>
  <si>
    <t>23. Improvisación y falta de validación de mercado</t>
  </si>
  <si>
    <t>12 PYMES</t>
  </si>
  <si>
    <t>Pruebas de Aceptabilidad de Producto</t>
  </si>
  <si>
    <t>BDP Lab (Incubadora) (Pruebas de Aceptabilidad de Producto)</t>
  </si>
  <si>
    <t>11,83%</t>
  </si>
  <si>
    <t>Plataformas de Asistencia Digital</t>
  </si>
  <si>
    <t>BDP Lab (Incubadora) (Plataformas de Asistencia Digital)</t>
  </si>
  <si>
    <t>Alta</t>
  </si>
  <si>
    <t>31. Falta de apoyo integral</t>
  </si>
  <si>
    <t>Componente de Cooperación Técnica No Reembolsable</t>
  </si>
  <si>
    <t>Proyectos FOMIN / BID MyPEs (Componente de Cooperación Técnica No Reembolsable)</t>
  </si>
  <si>
    <t>42. Desigualdad de género</t>
  </si>
  <si>
    <t>BID / FOMIN</t>
  </si>
  <si>
    <t>Subprogramas de crédito</t>
  </si>
  <si>
    <t>Desarrollo de sistemas de mercado con enfoque social y género</t>
  </si>
  <si>
    <t>Requería redirección a prioridades</t>
  </si>
  <si>
    <t>Módulo de Empoderamiento Económico de la Mujer</t>
  </si>
  <si>
    <t>Proyecto Mercados Inclusivos (Módulo de Empoderamiento Económico de la Mujer)</t>
  </si>
  <si>
    <t>Crédito de fomento y liquidez a tasas preferenciales</t>
  </si>
  <si>
    <t>SBPC y Acuerdos de Competitividad (ABC)</t>
  </si>
  <si>
    <t>2001 - 2005</t>
  </si>
  <si>
    <t>48. Exclusión de emprendimientos nacientes</t>
  </si>
  <si>
    <t>Sistema de concertación público-privada creado para formular políticas de productividad, utilizando los ABC como compromisos mutuos de inversión y competitividad por cadena productiva</t>
  </si>
  <si>
    <t>Capital semilla, riesgo e incubación financiera</t>
  </si>
  <si>
    <t>Definir visión estratégica y generar cadenas competitivas</t>
  </si>
  <si>
    <t>Fondo FOCASE (RM 055/2017 / DS 3459)</t>
  </si>
  <si>
    <t>Capital Semilla (FOCASE) (Fondo FOCASE (RM 055/2017 / DS 3459))</t>
  </si>
  <si>
    <t>Articulación de cadenas, asociatividad e infraestructura productiva</t>
  </si>
  <si>
    <t>Conflictos y desarticulación público-privada: Falta de espacios institucionales de diálogo concertado y permanente entre empresarios, el gobierno y la academia</t>
  </si>
  <si>
    <t>Trámites costosos y mal clima de negocios: Trámites burocráticos excesivos, incertidumbre normativa y problemas transversales de infraestructura que restaban competitividad al país</t>
  </si>
  <si>
    <t>49. Barreras para jóvenes profesionales y técnicos</t>
  </si>
  <si>
    <t>Desconfianza entre eslabones de la cadena: Desarticulación entre los proveedores de materia prima, la industria procesadora y los comercializadores</t>
  </si>
  <si>
    <t>Unidad de Productividad y Competitividad (UPC)</t>
  </si>
  <si>
    <t>8,60%</t>
  </si>
  <si>
    <t>Criterios de Elegibilidad por Capital Humano</t>
  </si>
  <si>
    <t>2001 (SBPC) / 2002 (ABC)</t>
  </si>
  <si>
    <t>Capital Semilla (FOCASE) (Criterios de Elegibilidad por Capital Humano)</t>
  </si>
  <si>
    <t>25 años desde su creación original</t>
  </si>
  <si>
    <t>Asociatividad, articulación de cadenas y clusters</t>
  </si>
  <si>
    <t>Acuerdo Público-Privado / Agenda Responsabilidad (ARCO)</t>
  </si>
  <si>
    <t>Mesas de concertación y negociación participativa</t>
  </si>
  <si>
    <t>50. Alta mortandad de empresas</t>
  </si>
  <si>
    <t>Ser actor relevante de la cadena productiva seleccionada</t>
  </si>
  <si>
    <t>Unidades productivas de todos los tamaños en clusters</t>
  </si>
  <si>
    <t>Créditos Directos de Despegue</t>
  </si>
  <si>
    <t>Nacional, Municipal y Prefectural</t>
  </si>
  <si>
    <t>Capital Semilla (FOCASE) (Créditos Directos de Despegue)</t>
  </si>
  <si>
    <t>20 clusters articulados nacionalmente</t>
  </si>
  <si>
    <t>51. Fuga de talento joven e innovador</t>
  </si>
  <si>
    <t>Mixto (TGN, CAF, Sector Privado)</t>
  </si>
  <si>
    <t>Planes de competitividad y matrices de compromisos</t>
  </si>
  <si>
    <t>La institucionalidad compartida es clave para el éxito</t>
  </si>
  <si>
    <t>Convocatoria Pública "Reto LaPazTec Bicentenario"</t>
  </si>
  <si>
    <t>LaPazTec (Prog. Municipal) (Convocatoria Pública "Reto LaPazTec Bicentenario")</t>
  </si>
  <si>
    <t>PAC (Prog. Apoyo Competitividad)</t>
  </si>
  <si>
    <t>2001 -2008</t>
  </si>
  <si>
    <t>Innovación tecnológica, digitalización y productividad</t>
  </si>
  <si>
    <t>Formalización, certificación, acceso a mercados e internacionalización</t>
  </si>
  <si>
    <t>Iniciativa de la CAF que financió investigación, asistencia técnica y articulación de cadenas o "clusters" de exportación mediante metodologías participativas y talleres</t>
  </si>
  <si>
    <t>Fortalecer clusters exportación</t>
  </si>
  <si>
    <t>1. Falta de acreditación y certificación de origen</t>
  </si>
  <si>
    <t>7,53%</t>
  </si>
  <si>
    <t>Marcas país, registro de origen y sello de producción nacional</t>
  </si>
  <si>
    <t>Sistema de Registro y Acreditación Digital de PRO-BOLIVIA</t>
  </si>
  <si>
    <t>Sello "Hecho en Bolivia" (Sistema de Registro y Acreditación Digital de PRO-BOLIVIA)</t>
  </si>
  <si>
    <t>Programa de Incubación BDP Lab</t>
  </si>
  <si>
    <t>BDP Lab (Incubadora) (Programa de Incubación BDP Lab)</t>
  </si>
  <si>
    <t>Baja competitividad sistémica y dependencia de primarios: Las formas de competir internacionalmente se basaban en ventajas comparativas estáticas (recursos naturales) en lugar de innovación y valor agregado</t>
  </si>
  <si>
    <t>Desarticulación en cadenas y clusters: Los eslabones de las cadenas productivas de exportación (soya, quinua, madera, textil, cuero, vino) operaban de forma aislada y sin visiones estratégicas compartidas</t>
  </si>
  <si>
    <t>Mentorías Personalizadas</t>
  </si>
  <si>
    <t>Cuellos de botella logísticos y de entorno: Existían severas deficiencias en infraestructura de transporte, burocracia aduanera y falta de investigación/tecnología aplicada</t>
  </si>
  <si>
    <t>Mesas de concertación, acuerdos e institucionalidad compartida</t>
  </si>
  <si>
    <t>BDP Lab (Incubadora) (Mentorías Personalizadas)</t>
  </si>
  <si>
    <t>UPC</t>
  </si>
  <si>
    <t>Investigación y Clusters</t>
  </si>
  <si>
    <t>3. Trámites y burocracia estatal</t>
  </si>
  <si>
    <t>Diagnósticos y talleres</t>
  </si>
  <si>
    <t>Clusters seleccionados</t>
  </si>
  <si>
    <t>Clusters y OE's</t>
  </si>
  <si>
    <t>Programa "Informar"</t>
  </si>
  <si>
    <t>SAT (Servicio Asistencia Técnica) (Programa "Informar")</t>
  </si>
  <si>
    <t>47 proyectos</t>
  </si>
  <si>
    <t>47 contrapartes</t>
  </si>
  <si>
    <t>Adecuación normativa e internacionalización</t>
  </si>
  <si>
    <t>Cédula Empresarial</t>
  </si>
  <si>
    <t>SAT (Servicio Asistencia Técnica) (Cédula Empresarial)</t>
  </si>
  <si>
    <t>Oficinas Regionales Desconcentradas</t>
  </si>
  <si>
    <t>CAF</t>
  </si>
  <si>
    <t>SAT (Servicio Asistencia Técnica) (Oficinas Regionales Desconcentradas)</t>
  </si>
  <si>
    <t>Estudios de cluster</t>
  </si>
  <si>
    <t>Compatibiliza intereses diversos</t>
  </si>
  <si>
    <t>CITEs / CETIPs</t>
  </si>
  <si>
    <t xml:space="preserve">2007 - Presente
</t>
  </si>
  <si>
    <t>5. Bajo consumo per cápita de leche</t>
  </si>
  <si>
    <t>Centros públicos especializados de PRO-BOLIVIA que brindan asistencia técnica, capacitación, laboratorios y servicios de maquinado industrial para mejorar la productividad de las MyPEs</t>
  </si>
  <si>
    <t>Acceso a tecnología aplicada</t>
  </si>
  <si>
    <t>Fondo PROLECHE (Ley 204 / DS 1207)</t>
  </si>
  <si>
    <t>PROLECHE (Fondo de Apoyo) (Fondo PROLECHE (Ley 204 / DS 1207))</t>
  </si>
  <si>
    <t>5,38%</t>
  </si>
  <si>
    <t>Rezago tecnológico en la manufactura básica: Las MyPEs e industrias artesanales sufrían de un atraso considerable en maquinaria, herramientas y metodologías de producción</t>
  </si>
  <si>
    <t>Dificultad de acceso a infraestructura técnica avanzada: Los pequeños productores no podían costear laboratorios de ensayo de calidad, metrología, diseño asistido o equipos de maquinado industrial</t>
  </si>
  <si>
    <t>Mecanismos de Recaudación (RCC y RIBA)</t>
  </si>
  <si>
    <t>Cuellos de botella en el acabado de productos: Existían deficiencias severas en el acabado, estandarización y control de calidad en complejos clave como madera, textil, cuero, metalmecánica y lácteos</t>
  </si>
  <si>
    <t>PROLECHE (Fondo de Apoyo) (Mecanismos de Recaudación (RCC y RIBA))</t>
  </si>
  <si>
    <t>PRO-BOLIVIA</t>
  </si>
  <si>
    <t>Promoción comercial, ferias y eventos de mercado</t>
  </si>
  <si>
    <t>Campañas Masivas de Promoción del Consumo</t>
  </si>
  <si>
    <t>PROLECHE (Fondo de Apoyo) (Campañas Masivas de Promoción del Consumo)</t>
  </si>
  <si>
    <t>Innovación tecnológica</t>
  </si>
  <si>
    <t>Vigente</t>
  </si>
  <si>
    <t>Sostenibilidad, transición verde y economía circular</t>
  </si>
  <si>
    <t>Infraestructura Servicios</t>
  </si>
  <si>
    <t>15. Inestabilidad y precios injustos para el productor</t>
  </si>
  <si>
    <t>Servicios de laboratorio</t>
  </si>
  <si>
    <t>Unidades registradas</t>
  </si>
  <si>
    <t>Certificado de Precio Justo (CPJ)</t>
  </si>
  <si>
    <t>36.926 servicios técnicos</t>
  </si>
  <si>
    <t>PROLECHE (Fondo de Apoyo) (Certificado de Precio Justo (CPJ))</t>
  </si>
  <si>
    <t>BOB</t>
  </si>
  <si>
    <t>Transferencias Directas Monetarias</t>
  </si>
  <si>
    <t>PROLECHE (Fondo de Apoyo) (Transferencias Directas Monetarias)</t>
  </si>
  <si>
    <t>20. Preferencia por lo importado y contrabando</t>
  </si>
  <si>
    <t>Recursos públicos</t>
  </si>
  <si>
    <t>Certificado y Sello Oficial "Hecho en Bolivia"</t>
  </si>
  <si>
    <t>Prototipos, ensayos</t>
  </si>
  <si>
    <t>Clave para industrialización básica</t>
  </si>
  <si>
    <t>Sello "Hecho en Bolivia" (Certificado y Sello Oficial "Hecho en Bolivia")</t>
  </si>
  <si>
    <t>PROLECHE (Fondo de Apoyo)</t>
  </si>
  <si>
    <t>2011 - Presente</t>
  </si>
  <si>
    <t>Fondo que fomenta el complejo lácteo, promueve el consumo de leche y otorga transferencias e infraestructura a productores. Se financia con retenciones a bebidas alcohólicas.</t>
  </si>
  <si>
    <t>Fomentar complejo lácteo</t>
  </si>
  <si>
    <t>Campañas de Promoción Comercial</t>
  </si>
  <si>
    <t>Sello "Hecho en Bolivia" (Campañas de Promoción Comercial)</t>
  </si>
  <si>
    <t>Bajo consumo per cápita de leche: La población boliviana registraba bajos niveles de consumo de lácteos, lo que afectaba la seguridad alimentaria y la nutrición</t>
  </si>
  <si>
    <t>Inestabilidad y precios injustos para el productor: Existían asimetrías de poder de negociación entre las industrias procesadoras y los pequeños productores lecheros primarios</t>
  </si>
  <si>
    <t xml:space="preserve">Deficiencias técnicas y de infraestructura: Los pequeños lecheros carecían de equipamiento adecuado (tanques de enfriamiento, ordeñadoras) y centros de acopio para garantizar la calidad de la leche cruda
</t>
  </si>
  <si>
    <t>21. Barreras de acceso a compras estatales</t>
  </si>
  <si>
    <t>Preferencias comerciales e inclusión en compras estatales</t>
  </si>
  <si>
    <t>Margen de Preferencia del 20%</t>
  </si>
  <si>
    <t>Sello "Hecho en Bolivia" (Margen de Preferencia del 20%)</t>
  </si>
  <si>
    <t>Subvención e infraestructura</t>
  </si>
  <si>
    <t>Transferencia no reembolsable</t>
  </si>
  <si>
    <t>Equipos e infraestructura</t>
  </si>
  <si>
    <t>Certificación precio justo</t>
  </si>
  <si>
    <t>Catálogo Electrónico "Compro Hecho en Bolivia"</t>
  </si>
  <si>
    <t>Productores lácteos</t>
  </si>
  <si>
    <t>Industrias registradas</t>
  </si>
  <si>
    <t>Sello "Hecho en Bolivia" (Catálogo Electrónico "Compro Hecho en Bolivia")</t>
  </si>
  <si>
    <t>16 unidades productivas lácteas</t>
  </si>
  <si>
    <t>4,30%</t>
  </si>
  <si>
    <t>28. Deficiencias de información y plataforma de exportación</t>
  </si>
  <si>
    <t>Media</t>
  </si>
  <si>
    <t>Plataforma Digital de Orientación Exportadora Sostenible</t>
  </si>
  <si>
    <t>Vía Verde (AL-INVEST Verde) (Plataforma Digital de Orientación Exportadora Sostenible)</t>
  </si>
  <si>
    <t>Retenciones bebidas alcohólicas</t>
  </si>
  <si>
    <t>Campañas de Comunicación Internacional</t>
  </si>
  <si>
    <t>Centros de acopio</t>
  </si>
  <si>
    <t>Apoyo condicionado al precio justo</t>
  </si>
  <si>
    <t>Vía Verde (AL-INVEST Verde) (Campañas de Comunicación Internacional)</t>
  </si>
  <si>
    <t>Fideicomisos Sectoriales y Multisectoriales (Incluye FDP, FIP y Líneas Sectoriales BDP)</t>
  </si>
  <si>
    <t>2007 - Presente</t>
  </si>
  <si>
    <t>Patrimonios autónomos estatales operados por el BDP para canalizar financiamiento a sectores productivos estratégicos, promoviendo innovación tecnológica y sostenibilidad en micro y medianas unidades productivas</t>
  </si>
  <si>
    <t>Financiar las prioridades productivas y estratégicas del Estado</t>
  </si>
  <si>
    <t>32. Trámites costosos y mal clima de negocios</t>
  </si>
  <si>
    <t>Programa Nacional de Simplificación de Trámites</t>
  </si>
  <si>
    <t>SBPC y Acuerdos de Competitividad (ABC) (Programa Nacional de Simplificación de Trámites)</t>
  </si>
  <si>
    <t>Subinversión en complejos productivos estratégicos: Existía una persistente falta de financiamiento de fomento a largo plazo para rubros clave de la economía (agrícola, ganadero, avícola, quinua, azúcar, etc.)</t>
  </si>
  <si>
    <t>Exclusión del crédito bancario comercial: Productores micro, pequeños y medianos, así como organizaciones económicas comunitarias, estaban marginados del crédito en condiciones adecuadas</t>
  </si>
  <si>
    <t>Vulnerabilidad ante eventos climáticos: La pérdida recurrente de capital de operaciones e inversión por sequías, inundaciones u otros desastres naturales ponía en riesgo la continuidad productiva</t>
  </si>
  <si>
    <t>BDP-S.A.M. (Fiduciario)</t>
  </si>
  <si>
    <t>43. Pobreza rural y aislamiento comercial</t>
  </si>
  <si>
    <t>Financiamiento e intermediación financiera</t>
  </si>
  <si>
    <t>Transferencias Público-Privadas No Reembolsables</t>
  </si>
  <si>
    <t>Fideicomisos de Crédito (Patrimonios Autónomos)</t>
  </si>
  <si>
    <t>PAR III (Alianzas Rurales) (Transferencias Público-Privadas No Reembolsables)</t>
  </si>
  <si>
    <t>Desembolsos vía ventanillas de primer y segundo piso</t>
  </si>
  <si>
    <t>NIT activo, proyecto viable y pertenencia a rubros priorizados</t>
  </si>
  <si>
    <t>Micro, Pequeños y Medianos productores y organizaciones</t>
  </si>
  <si>
    <t>Unidades y organizaciones legalmente constituidas</t>
  </si>
  <si>
    <t>45. Falta de acuerdos directos con compradores</t>
  </si>
  <si>
    <t xml:space="preserve">Transversal </t>
  </si>
  <si>
    <t>Saldo de cartera bruta y operaciones vigentes</t>
  </si>
  <si>
    <t>Convenios de Alianza Comercial</t>
  </si>
  <si>
    <t>2.318 operaciones activas</t>
  </si>
  <si>
    <t>PAR III (Alianzas Rurales) (Convenios de Alianza Comercial)</t>
  </si>
  <si>
    <t>56. Nuevas barreras de acceso a la Unión Europea</t>
  </si>
  <si>
    <t>Misiones Técnicas de Capacitación Normativa</t>
  </si>
  <si>
    <t>Vía Verde (AL-INVEST Verde) (Misiones Técnicas de Capacitación Normativa)</t>
  </si>
  <si>
    <t>Tesoro General de la Nación (TGN) y recursos BDP</t>
  </si>
  <si>
    <t>Créditos para capital de inversión y operaciones</t>
  </si>
  <si>
    <t>58. Barreras de certificación ecológica</t>
  </si>
  <si>
    <t>Los fideicomisos permiten instrumentalizar la política de manera ágil</t>
  </si>
  <si>
    <t>AL-INVEST 5.0 (Bolivia)</t>
  </si>
  <si>
    <t>Asistencias Técnicas en Trazabilidad y Medición de Huella</t>
  </si>
  <si>
    <t>2016-2020</t>
  </si>
  <si>
    <t>Iniciativa 3i Bolivia / Cono Sur (Asistencias Técnicas en Trazabilidad y Medición de Huella)</t>
  </si>
  <si>
    <t>Programa europeo liderado por CAINCO que elevó la productividad y competitividad de Mipymes a través de asistencia técnica grupal y núcleos empresariales asociativos</t>
  </si>
  <si>
    <t>Desarrollo sostenible mipymes</t>
  </si>
  <si>
    <t xml:space="preserve">Baja productividad y brechas de innovación regional: Las Mipymes presentaban serios rezagos en sus procesos productivos, gestión ambiental y acceso a mercados internacionales
</t>
  </si>
  <si>
    <t>Aislamiento e individualismo empresarial: Predominaba el trabajo aislado, impidiendo la colaboración horizontal para comprar materias primas o vender en volumen</t>
  </si>
  <si>
    <t>Debilidad de las organizaciones empresariales (OE): Las cámaras y gremios del sector privado carecían de metodologías estandarizadas y sostenibles para transferir conocimientos técnicos a sus asociados</t>
  </si>
  <si>
    <t>Consorcios (CAINCO)</t>
  </si>
  <si>
    <t>Productividad y mercados</t>
  </si>
  <si>
    <t>Asistencia Técnica grupal</t>
  </si>
  <si>
    <t>Núcleos empresariales</t>
  </si>
  <si>
    <t>Mipymes en gremios</t>
  </si>
  <si>
    <t>Mipymes</t>
  </si>
  <si>
    <t>Mujeres empoderadas</t>
  </si>
  <si>
    <t>3.939 Mipymes (Bol)</t>
  </si>
  <si>
    <t>EUR</t>
  </si>
  <si>
    <t>9. Conflictos y desarticulación público-privada</t>
  </si>
  <si>
    <t>Foro Boliviano de Productividad y Competitividad</t>
  </si>
  <si>
    <t>SBPC y Acuerdos de Competitividad (ABC) (Foro Boliviano de Productividad y Competitividad)</t>
  </si>
  <si>
    <t>Unión Europea</t>
  </si>
  <si>
    <t>Servicios OE, certificados</t>
  </si>
  <si>
    <t>"Sector apoya a sector" funciona</t>
  </si>
  <si>
    <t>Consejos Departamentales de Competitividad (CDC)</t>
  </si>
  <si>
    <t>PROMYPE Fase II</t>
  </si>
  <si>
    <t>SBPC y Acuerdos de Competitividad (ABC) (Consejos Departamentales de Competitividad (CDC))</t>
  </si>
  <si>
    <t>2017-2023</t>
  </si>
  <si>
    <t>Programa de PRO-BOLIVIA que fortalece MyPEs manufactureras urbanas y periurbanas mediante asistencia técnica, capacitación y la transferencia directa de maquinaria</t>
  </si>
  <si>
    <t>Fortalecer capacidades e innovación</t>
  </si>
  <si>
    <t>Centros tecnológicos, plantas piloto y laboratorios compartidos</t>
  </si>
  <si>
    <t>11. Desarticulación en cadenas y clusters</t>
  </si>
  <si>
    <t>Baja productividad por maquinaria obsoleta: Las MyPEs manufactureras urbanas y periurbanas operaban con equipamiento antiguo que elevaba los costos y reducía la calidad</t>
  </si>
  <si>
    <t>Limitada capacidad de inversión propia: Las microempresas no contaban con capital suficiente para adquirir maquinaria o tecnología de producción limpia por sí solas</t>
  </si>
  <si>
    <t xml:space="preserve">Deficiencias de formación técnica y gestión: Faltaban programas integrales que combinaran la entrega de activos productivos con capacitación y bonos de asistencia técnica
</t>
  </si>
  <si>
    <t>Metodología Participativa de Desarrollo de Clusters</t>
  </si>
  <si>
    <t>PAC (Prog. Apoyo Competitividad) (Metodología Participativa de Desarrollo de Clusters)</t>
  </si>
  <si>
    <t>3,23%</t>
  </si>
  <si>
    <t>Asistencia técnica y activos</t>
  </si>
  <si>
    <t>En ejecución</t>
  </si>
  <si>
    <t>Talleres de Trabajo y Comités Consultivos</t>
  </si>
  <si>
    <t>Subvención / Cofinanciamiento</t>
  </si>
  <si>
    <t>PAC (Prog. Apoyo Competitividad) (Talleres de Trabajo y Comités Consultivos)</t>
  </si>
  <si>
    <t>Transferencia de maquinaria y bonos</t>
  </si>
  <si>
    <t>Registro en PRO-BOLIVIA</t>
  </si>
  <si>
    <t>MYPE</t>
  </si>
  <si>
    <t>40% a 50% mujeres</t>
  </si>
  <si>
    <t>12. Cuellos de botella logísticos y de entorno</t>
  </si>
  <si>
    <t>1.278 MYPEs</t>
  </si>
  <si>
    <t>Acuerdos Bolivianos de Competitividad (ABC)</t>
  </si>
  <si>
    <t>PAC (Prog. Apoyo Competitividad) (Acuerdos Bolivianos de Competitividad (ABC))</t>
  </si>
  <si>
    <t>Matriz ARCO (Agenda de Responsabilidad Compartida)</t>
  </si>
  <si>
    <t>PAC (Prog. Apoyo Competitividad) (Matriz ARCO (Agenda de Responsabilidad Compartida))</t>
  </si>
  <si>
    <t>Mixto (TGN/COSUDE)</t>
  </si>
  <si>
    <t>Maquinaria, capacitación</t>
  </si>
  <si>
    <t>El modelo de bonos es altamente efectivo</t>
  </si>
  <si>
    <t>Sello "Hecho en Bolivia"</t>
  </si>
  <si>
    <t>17. Aislamiento e individualismo empresarial</t>
  </si>
  <si>
    <t xml:space="preserve">2017 - Presente
</t>
  </si>
  <si>
    <t>Registro y acreditación oficial para unidades productivas nacionales, permitiéndoles acceder a mercados internos y preferenciales en compras públicas del Estado</t>
  </si>
  <si>
    <t>Acreditar unidades para compras</t>
  </si>
  <si>
    <t>Metodología de Núcleos Empresariales</t>
  </si>
  <si>
    <t>AL-INVEST 5.0 (Bolivia) (Metodología de Núcleos Empresariales)</t>
  </si>
  <si>
    <t xml:space="preserve">Preferencia por lo importado y contrabando: Existía una débil cultura de consumo de la producción nacional y una fuerte presión competitiva del contrabando y productos importados
</t>
  </si>
  <si>
    <t>Barreras de acceso a compras estatales: Las MyPEs y artesanos enfrentaban dificultades formales y comerciales para colocar sus bienes en los catálogos del Estado y obtener márgenes de preferencia</t>
  </si>
  <si>
    <t>Falta de acreditación y certificación de origen: Las unidades económicas no contaban con un registro simplificado que certificara el componente nacional de sus productos</t>
  </si>
  <si>
    <t>Grupos de Trabajo Sectoriales (GTS)</t>
  </si>
  <si>
    <t>AL-INVEST 5.0 (Bolivia) (Grupos de Trabajo Sectoriales (GTS))</t>
  </si>
  <si>
    <t>Formalización y mercados</t>
  </si>
  <si>
    <t>Fideicomisos y patrimonios autónomos fiduciarios</t>
  </si>
  <si>
    <t>Registro / Sello</t>
  </si>
  <si>
    <t>Certificado Registro</t>
  </si>
  <si>
    <t>NIT activo</t>
  </si>
  <si>
    <t>18. Debilidad de las organizaciones empresariales (OE)</t>
  </si>
  <si>
    <t>Formales</t>
  </si>
  <si>
    <t>3.000 solicitudes</t>
  </si>
  <si>
    <t>15.111 MyPymes</t>
  </si>
  <si>
    <t>Programas de Formación para Gestores de Cámaras (CAINCO, CEPB, CNC)</t>
  </si>
  <si>
    <t>AL-INVEST 5.0 (Bolivia) (Programas de Formación para Gestores de Cámaras (CAINCO, CEPB, CNC))</t>
  </si>
  <si>
    <t>Herramientas Digitales y Plataformas</t>
  </si>
  <si>
    <t>AL-INVEST 5.0 (Bolivia) (Herramientas Digitales y Plataformas)</t>
  </si>
  <si>
    <t>24. Desconexión con redes de apoyo e inversión</t>
  </si>
  <si>
    <t>Certificado acreditación</t>
  </si>
  <si>
    <t>Facilita la compra estatal a las MyPEs</t>
  </si>
  <si>
    <t>Proyecto Mercados Inclusivos</t>
  </si>
  <si>
    <t>Espacios de Coworking</t>
  </si>
  <si>
    <t>2018 - 2024</t>
  </si>
  <si>
    <t>BDP Lab (Incubadora) (Espacios de Coworking)</t>
  </si>
  <si>
    <t>Proyecto financiado por cooperación suiza y sueca que promueve el desarrollo de modelos de negocio, servicios financieros y microseguros adaptados al cambio climático para productores rurales</t>
  </si>
  <si>
    <t>Mejorar ingresos y empleo</t>
  </si>
  <si>
    <t>Puente Financiero Directo</t>
  </si>
  <si>
    <t>Ineficiencia y vulnerabilidad en cadenas rurales: Los pequeños productores rurales de valles y altiplano enfrentaban bajos ingresos por su débil articulación a mercados de consumo e insumos</t>
  </si>
  <si>
    <t>BDP Lab (Incubadora) (Puente Financiero Directo)</t>
  </si>
  <si>
    <t>Riesgo y vulnerabilidad climática sin cobertura: Inexistencia de productos financieros adaptados, como microseguros agrícolas o créditos verdes, frente a sequías y heladas</t>
  </si>
  <si>
    <t>Desigualdad de género: Las mujeres rurales enfrentaban brechas marcadas para acceder a servicios financieros y participar activamente en la gestión comercial</t>
  </si>
  <si>
    <t>Swisscontact / Helvetas</t>
  </si>
  <si>
    <t>33. Desconfianza entre eslabones de la cadena</t>
  </si>
  <si>
    <t>Modelos de negocio</t>
  </si>
  <si>
    <t>SBPC y Acuerdos de Competitividad (ABC) (Acuerdos Bolivianos de Competitividad (ABC))</t>
  </si>
  <si>
    <t>Capacitación</t>
  </si>
  <si>
    <t>Emprendedores</t>
  </si>
  <si>
    <t>MyPEs y Productores</t>
  </si>
  <si>
    <t>Capacitación técnica, laboral y en planta</t>
  </si>
  <si>
    <t>La Paz, Oruro, Potosí, Sucre y Tarija</t>
  </si>
  <si>
    <t>35. Deficiencias técnicas y de infraestructura</t>
  </si>
  <si>
    <t>Empoderamiento mujer</t>
  </si>
  <si>
    <t>Infraestructura productiva, logística y equipamiento físico</t>
  </si>
  <si>
    <t>25.000 personas</t>
  </si>
  <si>
    <t>Iniciativas Productivas Lácteas (IPL)</t>
  </si>
  <si>
    <t>PROLECHE (Fondo de Apoyo) (Iniciativas Productivas Lácteas (IPL))</t>
  </si>
  <si>
    <t>2,15%</t>
  </si>
  <si>
    <t>41. Ineficiencia y vulnerabilidad en cadenas rurales</t>
  </si>
  <si>
    <t>Metodología M4P (Desarrollo de Sistemas de Mercado)</t>
  </si>
  <si>
    <t>Baja</t>
  </si>
  <si>
    <t>Cooperación Int.</t>
  </si>
  <si>
    <t>Proyecto Mercados Inclusivos (Metodología M4P (Desarrollo de Sistemas de Mercado))</t>
  </si>
  <si>
    <t>Enfoque de multidimensionalidad de la pobreza</t>
  </si>
  <si>
    <t>PAR III (Alianzas Rurales)</t>
  </si>
  <si>
    <t>2022 - 2027</t>
  </si>
  <si>
    <t>44. Déficit de infraestructura productiva rural</t>
  </si>
  <si>
    <t>Programa del MDRyT que realiza transferencias público-privadas de infraestructura y tecnología a pequeños productores organizados de áreas rurales vulnerables para mejorar su acceso a mercados</t>
  </si>
  <si>
    <t>Mejorar acceso a mercados rurales</t>
  </si>
  <si>
    <t>Financiamiento de Planes de Alianza</t>
  </si>
  <si>
    <t>PAR III (Alianzas Rurales) (Financiamiento de Planes de Alianza)</t>
  </si>
  <si>
    <t>Pobreza rural y aislamiento comercial: Pequeños productores agropecuarios marginados no lograban colocar su producción en condiciones ventajosas de mercado</t>
  </si>
  <si>
    <t>Déficit de infraestructura productiva rural: Falta de caminos vecinales, sistemas de riego, centros de acopio y equipamiento para mitigar riesgos ambientales y garantizar entregas estables</t>
  </si>
  <si>
    <t>8. Restricción y "crunch" de crédito</t>
  </si>
  <si>
    <t xml:space="preserve">Falta de acuerdos directos con compradores: Inexistencia de alianzas estratégicas formales entre las organizaciones de productores y las industrias o mercados formales
</t>
  </si>
  <si>
    <t>EMPODERAR</t>
  </si>
  <si>
    <t>Convenio de Préstamo BID 1020/SF-BO</t>
  </si>
  <si>
    <t>Infraestructura y mercados</t>
  </si>
  <si>
    <t>Proyectos FOMIN / BID MyPEs (Convenio de Préstamo BID 1020/SF-BO)</t>
  </si>
  <si>
    <t>Transferencia público-privada</t>
  </si>
  <si>
    <t>Planes de alianzas</t>
  </si>
  <si>
    <t>Pequeños productores</t>
  </si>
  <si>
    <t>Ventanilla crediticia BDP/NAFIBO a EIFs</t>
  </si>
  <si>
    <t>Proyectos FOMIN / BID MyPEs (Ventanilla crediticia BDP/NAFIBO a EIFs)</t>
  </si>
  <si>
    <t>Nacional (Rural)</t>
  </si>
  <si>
    <t>Género / Jóvenes</t>
  </si>
  <si>
    <t>23.865 productores</t>
  </si>
  <si>
    <t>247.503 personas</t>
  </si>
  <si>
    <t>25. Costo elevado del crédito bancario para reactivación</t>
  </si>
  <si>
    <t>Crédito a Tasa Fija Anual del 0,5%</t>
  </si>
  <si>
    <t>Economía circular, ecoeficiencia y residuo cero</t>
  </si>
  <si>
    <t>SIBOLIVIA (Fideicomiso FIREDIN) (Crédito a Tasa Fija Anual del 0,5%)</t>
  </si>
  <si>
    <t>Crédito externo / TGN</t>
  </si>
  <si>
    <t>Ventanillas de Colocación Directa</t>
  </si>
  <si>
    <t>Infraestructura productiva</t>
  </si>
  <si>
    <t>Alianzas rurales generan empleo rural sostenible</t>
  </si>
  <si>
    <t>SIBOLIVIA (Fideicomiso FIREDIN) (Ventanillas de Colocación Directa)</t>
  </si>
  <si>
    <t>BDP Lab (Incubadora)</t>
  </si>
  <si>
    <t>2019 - Presente</t>
  </si>
  <si>
    <t>Incubadora de negocios del BDP que ofrece mentoría, coworking y asistencia técnica personalizada para perfeccionar planes de negocio y facilitar el acceso a capital semilla.</t>
  </si>
  <si>
    <t>Despegue de emprendimientos</t>
  </si>
  <si>
    <t>26. Inexistencia de oferta crediticia verde</t>
  </si>
  <si>
    <t>Finanzas verdes y taxonomía sostenible</t>
  </si>
  <si>
    <t>Taxonomía Verde BDP</t>
  </si>
  <si>
    <t>Improvisación y falta de validación de mercado: Los nuevos negocios salían al mercado sin haber probado previamente sus prototipos ni haber recibido mentoria técnica</t>
  </si>
  <si>
    <t>Ecoeficiencia BDP (Taxonomía Verde BDP)</t>
  </si>
  <si>
    <t>Desconexión con redes de apoyo e inversión: Los innovadores no disponían de espacios de coworking ni de aceleración para conectarse con otros actores del ecosistema emprendedor</t>
  </si>
  <si>
    <t>Sistema SARAS y MRV</t>
  </si>
  <si>
    <t>Ecoeficiencia BDP (Sistema SARAS y MRV)</t>
  </si>
  <si>
    <t>30. Ausencia de financiamiento de largo plazo</t>
  </si>
  <si>
    <t>Subprogramas de Crédito Productivo</t>
  </si>
  <si>
    <t>SIBOLIVIA (Fideicomiso FIREDIN)</t>
  </si>
  <si>
    <t>Proyectos FOMIN / BID MyPEs (Subprogramas de Crédito Productivo)</t>
  </si>
  <si>
    <t>2020 - Presente</t>
  </si>
  <si>
    <t>Fideicomiso estatal que financia capital de operaciones o inversión para la sustitución de importaciones, ofreciendo una tasa de interés fija anual del 0,5%</t>
  </si>
  <si>
    <t>Industrialización con sustitución de importaciones</t>
  </si>
  <si>
    <t>36. Subinversión en complejos productivos estratégicos</t>
  </si>
  <si>
    <t xml:space="preserve">Parálisis productiva y crisis de liquidez post-pandemia: Las unidades productivas sufrieron una severa iliquidez y contracción de la demanda tras las emergencias sanitarias y económicas
</t>
  </si>
  <si>
    <t>Alta dependencia de importaciones: La industria nacional importaba volumen considerable de insumos, materias primas y bienes finales que podían ser elaborados localmente</t>
  </si>
  <si>
    <t>Costo elevado del crédito bancario para reactivación: Las tasas de interés comerciales resultaban inviables para empresas golpeadas que requerían crédito blando para sustituir importaciones</t>
  </si>
  <si>
    <t>Patrimonios Autónomos Fiduciarios</t>
  </si>
  <si>
    <t>BDP-S.A.M. y Banco Unión S.A.</t>
  </si>
  <si>
    <t>Fideicomisos Sectoriales y Multisectoriales (Incluye FDP, FIP y Líneas Sectoriales BDP) (Patrimonios Autónomos Fiduciarios)</t>
  </si>
  <si>
    <t>Financiamiento directo (Crédito)</t>
  </si>
  <si>
    <t>Gestión de riesgos, garantías y microseguros</t>
  </si>
  <si>
    <t>Crédito con tasa de interés fija del 0,5% anual</t>
  </si>
  <si>
    <t>Ventanilla bancaria (BDP y Banco Unión)</t>
  </si>
  <si>
    <t>37. Exclusión del crédito bancario comercial</t>
  </si>
  <si>
    <t>NIT activo y proyecto de producción nacional</t>
  </si>
  <si>
    <t>Micro, Pequeña, Mediana y Gran Empresa</t>
  </si>
  <si>
    <t>Unidades económicas formales</t>
  </si>
  <si>
    <t>Contratos de Fideicomiso de Crédito de 1er y 2do Piso</t>
  </si>
  <si>
    <t xml:space="preserve">Nacional </t>
  </si>
  <si>
    <t>Fideicomisos Sectoriales y Multisectoriales (Incluye FDP, FIP y Líneas Sectoriales BDP) (Contratos de Fideicomiso de Crédito de 1er y 2do Piso)</t>
  </si>
  <si>
    <t xml:space="preserve">6.145 unidades productivas </t>
  </si>
  <si>
    <t>40. Limitada capacidad de inversión propia</t>
  </si>
  <si>
    <t>Esquema de Cofinanciamiento Público-Cooperación</t>
  </si>
  <si>
    <t>PROMYPE Fase II (Esquema de Cofinanciamiento Público-Cooperación)</t>
  </si>
  <si>
    <t>46. Parálisis productiva y crisis de liquidez post-pandemia</t>
  </si>
  <si>
    <t>Fideicomiso FIREDIN (DS 4424, DS 4790, DS 4631)</t>
  </si>
  <si>
    <t>SIBOLIVIA (Fideicomiso FIREDIN) (Fideicomiso FIREDIN (DS 4424, DS 4790, DS 4631))</t>
  </si>
  <si>
    <t>Tesoro General de la Nación (TGN) - Fideicomiso</t>
  </si>
  <si>
    <t>Desembolsos para capital de inversión y operaciones</t>
  </si>
  <si>
    <t>Tasas bajas aceleran la industrialización</t>
  </si>
  <si>
    <t>Capital Semilla (FOCASE)</t>
  </si>
  <si>
    <t>2021 - Presente</t>
  </si>
  <si>
    <t>53. Brecha de crédito comercial privado</t>
  </si>
  <si>
    <t>Fondo administrado por el BDP que otorga financiamiento y créditos de arranque a nuevos emprendimientos de profesionales, técnicos o microproductores, utilizando utilidades de la banca.</t>
  </si>
  <si>
    <t>Financiar etapas iniciales</t>
  </si>
  <si>
    <t>Línea de Crédito Comercial Bilateral</t>
  </si>
  <si>
    <t>BID Invest / Banco FIE (2022) (Línea de Crédito Comercial Bilateral)</t>
  </si>
  <si>
    <t>Exclusión de emprendimientos nacientes: El sistema bancario tradicional rechazaba solicitudes de crédito para negocios en etapa inicial o embrionaria por la falta de historial financiero o estados financieros auditados</t>
  </si>
  <si>
    <t>Barreras para jóvenes profesionales y técnicos: Existía un universo de estudiantes, técnicos e innovadores con capacidad de emprendimiento pero sin acceso a un "capital de arranque"</t>
  </si>
  <si>
    <t>Alta mortandad de empresas: Gran parte de los emprendimientos quebraba antes de consolidarse al tener que recurrir a prestamistas informales o agotar sus ahorros</t>
  </si>
  <si>
    <t>54. Barreras para la escala empresarial</t>
  </si>
  <si>
    <t>Productos Crediticios de Mediano Plazo</t>
  </si>
  <si>
    <t>BID Invest / Banco FIE (2022) (Productos Crediticios de Mediano Plazo)</t>
  </si>
  <si>
    <t>BDP-SAM</t>
  </si>
  <si>
    <t>10. Baja competitividad sistémica y dependencia de primarios</t>
  </si>
  <si>
    <t>Estudios de Caracterización y Análisis Competitivo</t>
  </si>
  <si>
    <t>PAC (Prog. Apoyo Competitividad) (Estudios de Caracterización y Análisis Competitivo)</t>
  </si>
  <si>
    <t>Fondos de Cofinanciamiento para Proyectos de Innovación</t>
  </si>
  <si>
    <t>PAC (Prog. Apoyo Competitividad) (Fondos de Cofinanciamiento para Proyectos de Innovación)</t>
  </si>
  <si>
    <t>Desembolso directo</t>
  </si>
  <si>
    <t>Título o aval de formación</t>
  </si>
  <si>
    <t>Emprendimientos</t>
  </si>
  <si>
    <t>Formales/En proceso</t>
  </si>
  <si>
    <t>Prioriza mujeres</t>
  </si>
  <si>
    <t>2.072 operaciones</t>
  </si>
  <si>
    <t>13. Dificultad de acceso a infraestructura técnica avanzada</t>
  </si>
  <si>
    <t>3.462 operaciones</t>
  </si>
  <si>
    <t>Servicios de Maquinado Industrial</t>
  </si>
  <si>
    <t>CITEs / CETIPs (Servicios de Maquinado Industrial)</t>
  </si>
  <si>
    <t>Laboratorios de Metrología y Ensayos de Calidad</t>
  </si>
  <si>
    <t>CITEs / CETIPs (Laboratorios de Metrología y Ensayos de Calidad)</t>
  </si>
  <si>
    <t>Utilidades banca (3% y 6%)</t>
  </si>
  <si>
    <t>Créditos de arranque</t>
  </si>
  <si>
    <t>14. Cuellos de botella en el acabado de productos</t>
  </si>
  <si>
    <t>Fondo vital para diversificación</t>
  </si>
  <si>
    <t>LaPazTec (Prog. Municipal)</t>
  </si>
  <si>
    <t>2021-Presente</t>
  </si>
  <si>
    <t>Servicios de Prototipado y Diseño Asistido</t>
  </si>
  <si>
    <t>Programa municipal de La Paz para promover el emprendimiento tecnológico en jóvenes y retener talento, facilitando mentorías y créditos de infraestructura en la nube de AWS.</t>
  </si>
  <si>
    <t>Emprendimiento tecnológico</t>
  </si>
  <si>
    <t>CITEs / CETIPs (Servicios de Prototipado y Diseño Asistido)</t>
  </si>
  <si>
    <t>Fuga de talento joven e innovador: Pérdida de capacidades y emprendedores tecnológicos que migran o abandonan proyectos por falta de apoyo local</t>
  </si>
  <si>
    <t>Talleres en Planta de Transferencia Tecnológica</t>
  </si>
  <si>
    <t xml:space="preserve">Alta mortandad de startups tecnológicas: Fracaso temprano de emprendimientos digitales por falta de espacios de aceleración, mentorías especializadas y financiamiento de infraestructura en la nube (AWS)
</t>
  </si>
  <si>
    <t>CITEs / CETIPs (Talleres en Planta de Transferencia Tecnológica)</t>
  </si>
  <si>
    <t>16. Baja productividad y brechas de innovación regional</t>
  </si>
  <si>
    <t>Fondos Concursables AFT (Apoyo Financiero a Terceros)</t>
  </si>
  <si>
    <t>AL-INVEST 5.0 (Bolivia) (Fondos Concursables AFT (Apoyo Financiero a Terceros))</t>
  </si>
  <si>
    <t>Ecoeficiencia BDP</t>
  </si>
  <si>
    <t>2022 - Presente</t>
  </si>
  <si>
    <t>Talleres de Capacitación Técnica Especializada</t>
  </si>
  <si>
    <t>Créditos sostenibles dirigidos a pymes y grandes empresas para financiar proyectos de energía renovable, eficiencia energética y reducción de residuos químicos peligrosos.</t>
  </si>
  <si>
    <t>Financiar transición energética</t>
  </si>
  <si>
    <t>AL-INVEST 5.0 (Bolivia) (Talleres de Capacitación Técnica Especializada)</t>
  </si>
  <si>
    <t>Inadecuada gestión energética y ambiental en la industria: Altos costos operativos por consumo ineficiente de electricidad, combustibles y agua, y mala gestión de residuos contaminantes
.</t>
  </si>
  <si>
    <t>34. Rezago tecnológico en la manufactura básica</t>
  </si>
  <si>
    <t>Inexistencia de oferta crediticia verde: El sistema financiero tradicional no ofrecía préstamos blando con condiciones específicas para proyectos de eficiencia energética o tecnologías bajas en carbono</t>
  </si>
  <si>
    <t>GAMLP (DTI)</t>
  </si>
  <si>
    <t>Infraestructura de Centros Tecnológicos</t>
  </si>
  <si>
    <t>CITEs / CETIPs (Infraestructura de Centros Tecnológicos)</t>
  </si>
  <si>
    <t>Innovación y emprendimiento</t>
  </si>
  <si>
    <t>1,08%</t>
  </si>
  <si>
    <t>Incubación / Concurso</t>
  </si>
  <si>
    <t>39. Baja productividad por maquinaria obsoleta</t>
  </si>
  <si>
    <t>Bootcamp y mentoría</t>
  </si>
  <si>
    <t>Residentes en La Paz</t>
  </si>
  <si>
    <t>Transferencia Directa de Activos Productivos</t>
  </si>
  <si>
    <t>Startups y jóvenes</t>
  </si>
  <si>
    <t>PROMYPE Fase II (Transferencia Directa de Activos Productivos)</t>
  </si>
  <si>
    <t>Ideas y Startups</t>
  </si>
  <si>
    <t>La Paz</t>
  </si>
  <si>
    <t>Inclusivo</t>
  </si>
  <si>
    <t>47. Alta dependencia de importaciones</t>
  </si>
  <si>
    <t>Reglamento Operativo de Elegibilidad Sectorial</t>
  </si>
  <si>
    <t>SIBOLIVIA (Fideicomiso FIREDIN) (Reglamento Operativo de Elegibilidad Sectorial)</t>
  </si>
  <si>
    <t>22. Riesgo y vulnerabilidad climática sin cobertura</t>
  </si>
  <si>
    <t>Total</t>
  </si>
  <si>
    <t>Fondo de Innovación de Mercado (FIM)</t>
  </si>
  <si>
    <t>Presupuesto municipal</t>
  </si>
  <si>
    <t>Créditos nube (AWS)</t>
  </si>
  <si>
    <t>Proyecto Mercados Inclusivos (Fondo de Innovación de Mercado (FIM))</t>
  </si>
  <si>
    <t>La retención de talento requiere infraestructura nube</t>
  </si>
  <si>
    <t>BID Invest / Banco FIE (2022)</t>
  </si>
  <si>
    <t xml:space="preserve"> Línea de crédito comercial externa de USD 35 millones para ampliar el financiamiento formal y reducir brechas de acceso al crédito de las MiPymes de Bolivia</t>
  </si>
  <si>
    <t>Productos Financieros y Microseguros Agrícolas</t>
  </si>
  <si>
    <t>Línea de Crédito MiPymes</t>
  </si>
  <si>
    <t>Proyecto Mercados Inclusivos (Productos Financieros y Microseguros Agrícolas)</t>
  </si>
  <si>
    <t>27. Desconocimiento de la economía circular</t>
  </si>
  <si>
    <t>Brecha de crédito comercial privado: Insuficiente oferta de liquidez bancaria de mediano plazo dedicada de forma exclusiva al crecimiento de las MiPymes en el sistema privado</t>
  </si>
  <si>
    <t>Barreras para la escala empresarial: Dificultades de las pequeñas empresas para acceder a montos de inversión requeridos para su expansión productiva</t>
  </si>
  <si>
    <t>Asesorías Especializadas en Ecodiseño y Simbiosis Industrial</t>
  </si>
  <si>
    <t>Santa Cruz Distrito ZERO (Asesorías Especializadas en Ecodiseño y Simbiosis Industrial)</t>
  </si>
  <si>
    <t>Banco FIE</t>
  </si>
  <si>
    <t>Formulación de Estrategias de Residuo Cero</t>
  </si>
  <si>
    <t>Santa Cruz Distrito ZERO (Formulación de Estrategias de Residuo Cero)</t>
  </si>
  <si>
    <t>Ventanilla bancaria</t>
  </si>
  <si>
    <t>Ser cliente MiPyme FIE</t>
  </si>
  <si>
    <t>29. Falta de transición hacia el triple impacto</t>
  </si>
  <si>
    <t>MiPymes</t>
  </si>
  <si>
    <t>Fondo de Subvención AL-INVEST Verde</t>
  </si>
  <si>
    <t>Iniciativa 3i Bolivia / Cono Sur (Fondo de Subvención AL-INVEST Verde)</t>
  </si>
  <si>
    <t>Planes de Acompañamiento Empresarial de Triple Impacto</t>
  </si>
  <si>
    <t>Iniciativa 3i Bolivia / Cono Sur (Planes de Acompañamiento Empresarial de Triple Impacto)</t>
  </si>
  <si>
    <t>38. Vulnerabilidad ante eventos climáticos</t>
  </si>
  <si>
    <t>BID Invest</t>
  </si>
  <si>
    <t>Líneas Crediticias de Emergencia Lote Patujú</t>
  </si>
  <si>
    <t>Créditos productivos</t>
  </si>
  <si>
    <t>Fideicomisos Sectoriales y Multisectoriales (Incluye FDP, FIP y Líneas Sectoriales BDP) (Líneas Crediticias de Emergencia Lote Patujú)</t>
  </si>
  <si>
    <t>Alta participación de FIE en garantías BDP (51%)</t>
  </si>
  <si>
    <t>Santa Cruz Distrito ZERO</t>
  </si>
  <si>
    <t>24 meses</t>
  </si>
  <si>
    <t>52. Inadecuada gestión energética y ambiental en la industria</t>
  </si>
  <si>
    <t>Iniciativa de AL-INVEST Verde en Santa Cruz enfocada en guiar a pymes hacia la economía circular, la ecoeficiencia y estrategias de residuo cero</t>
  </si>
  <si>
    <t>Línea de Crédito Verde "Ecoeficiencia BDP"</t>
  </si>
  <si>
    <t>Ecoeficiencia BDP (Línea de Crédito Verde "Ecoeficiencia BDP")</t>
  </si>
  <si>
    <t>55. Alta generación e ineficiencia en el manejo de residuos</t>
  </si>
  <si>
    <t>Auditorías de Flujo de Materiales</t>
  </si>
  <si>
    <t>Alta generación e ineficiencia en el manejo de residuos: Las Pymes cruceñas desechaban volumen considerable de residuos aprovechables, incrementando la contaminación y los costos de operación
.</t>
  </si>
  <si>
    <t>Santa Cruz Distrito ZERO (Auditorías de Flujo de Materiales)</t>
  </si>
  <si>
    <t>Desconocimiento de la economía circular: Falta de asistencia técnica diagnóstica para reintroducir residuos en los procesos de producción y alcanzar metas de "residuo cero"
.</t>
  </si>
  <si>
    <t>Cámara Cantabria</t>
  </si>
  <si>
    <t>57. Modelos productivos ambientalmente insostenibles</t>
  </si>
  <si>
    <t>Diagnósticos Ambientales Diagnósticos</t>
  </si>
  <si>
    <t>Iniciativa 3i Bolivia / Cono Sur (Diagnósticos Ambientales Diagnósticos)</t>
  </si>
  <si>
    <t>Economía circular</t>
  </si>
  <si>
    <t>Diagnósticos</t>
  </si>
  <si>
    <t>Pymes de Santa Cruz</t>
  </si>
  <si>
    <t>Santa Cruz</t>
  </si>
  <si>
    <t>200 MiPymes</t>
  </si>
  <si>
    <t>Estrategias residuo cero</t>
  </si>
  <si>
    <t>Vía Verde (AL-INVEST Verde)</t>
  </si>
  <si>
    <t>23 meses</t>
  </si>
  <si>
    <t>Proyecto de AL-INVEST Verde que asiste a pymes agroforestales para obtener certificaciones internacionales y cumplir con exigencias ambientales europeas para la exportación sostenible</t>
  </si>
  <si>
    <t>Nuevas barreras de acceso a la Unión Europea: Exigencias estrictas de no deforestación, huella de carbono e inocuidad impuestas a los productos agroforestales</t>
  </si>
  <si>
    <t>Deficiencias de información y plataforma de exportación: Las Mipymes agroforestales carecían de orientación digital y capacitación para cumplir con las normativas internacionales</t>
  </si>
  <si>
    <t>IBCE</t>
  </si>
  <si>
    <t>Certificación y exportación</t>
  </si>
  <si>
    <t>Capacitación / Certificación</t>
  </si>
  <si>
    <t>Misiones técnicas</t>
  </si>
  <si>
    <t>Mipymes agroforestales</t>
  </si>
  <si>
    <t>Mujeres y jóvenes</t>
  </si>
  <si>
    <t>150 MiPymes</t>
  </si>
  <si>
    <t>Certificaciones export</t>
  </si>
  <si>
    <t>Iniciativa 3i Bolivia / Cono Sur</t>
  </si>
  <si>
    <t>2024-2026</t>
  </si>
  <si>
    <t>Proyecto de AL-INVEST Verde orientado a la transición ecológica de pymes bolivianas, promoviendo modelos de negocio sostenibles de triple impacto en el sur del país</t>
  </si>
  <si>
    <t>Modelos productivos ambientalmente insostenibles: Las Pymes agroindustriales operaban bajo esquemas convencionales que generaban deforestación y altas emisiones</t>
  </si>
  <si>
    <t xml:space="preserve">Falta de transición hacia el triple impacto: Dificultad para integrar la sostenibilidad ambiental y social como un factor de ventaja competitiva en regiones vulnerables como el sur de Bolivia
</t>
  </si>
  <si>
    <t xml:space="preserve">Barreras de certificación ecológica: Ausencia de sellos y trazabilidad ambiental requeridos para posicionar productos en mercados de exportación
</t>
  </si>
  <si>
    <t>Ayuda en Acción</t>
  </si>
  <si>
    <t>Transición verde</t>
  </si>
  <si>
    <t>Asistencia y Finanzas</t>
  </si>
  <si>
    <t>Servicios empresariales</t>
  </si>
  <si>
    <t>Pymes con potencial</t>
  </si>
  <si>
    <t>MiPymes y asoc.</t>
  </si>
  <si>
    <t>Chuq, Tja, Pot, LP</t>
  </si>
  <si>
    <t>378 Mipymes</t>
  </si>
  <si>
    <t>Mipymes verdes fortalecidas</t>
  </si>
  <si>
    <t>Instrumentos/Herramientas</t>
  </si>
  <si>
    <t>Fuente identificada</t>
  </si>
  <si>
    <t>Autoridad de la fuente</t>
  </si>
  <si>
    <t>Datos verificables sobre el programa</t>
  </si>
  <si>
    <t>Descripción del programa</t>
  </si>
  <si>
    <t>Distinción de hechos y resultados</t>
  </si>
  <si>
    <t>Fecha identificable y vigencia de programas</t>
  </si>
  <si>
    <t>Información sustantiva</t>
  </si>
  <si>
    <t>CEPAL. (2009). Políticas para la inserción laboral de mujeres y jóvenes en el Estado Plurinacional de Bolivia. Colección Documentos de Proyectos, Santiago de Chile.</t>
  </si>
  <si>
    <t>Si</t>
  </si>
  <si>
    <t>CEPAL. (2009). Políticas para la inserción laboral de mujeres y jóvenes en el Estado Plurinacional de Bolivia. Colección Documentos de Proyectos.</t>
  </si>
  <si>
    <t>Ministerio de Desarrollo Productivo y Economía Plural (MDPyEP) &amp; OIT. (2020). Lineamientos Ampliados de la Política Industrial de Bolivia. La Paz.</t>
  </si>
  <si>
    <t>Gobierno Autónomo Municipal de La Paz (GAMLP). (2025). Convocatoria Reto LAPAZTEC AWS del Bicentenario. Dirección de Tecnologías de la Información. La Paz.</t>
  </si>
  <si>
    <t>GAMLP &amp; Open Government Partnership (OGP). (2025). LaPazTec: Programa para promover el emprendimiento tecnológico (BOLPB0006). La Paz.</t>
  </si>
  <si>
    <t>Gobierno Autónomo Municipal de La Paz (GAMLP). (2025). Convocatoria Reto LAPAZTEC AWS del Bicentenario. La Paz.</t>
  </si>
  <si>
    <t>Ministerio de Desarrollo Productivo y Economía Plural. (2022). Plan Estratégico Institucional PEI 2021-2025. La Paz.</t>
  </si>
  <si>
    <t>CAF &amp; MDPyEP. (2021). Plan Estratégico Institucional MDPyEP. La Paz.</t>
  </si>
  <si>
    <t>Banco de Desarrollo Productivo S.A.M. (BDP-S.A.M.). (2020/2025). Memoria Anual y Boletines de Inteligencia Productiva. La Paz.</t>
  </si>
  <si>
    <t>Banco de Desarrollo Productivo S.A.M. (BDP-S.A.M.). (2025). Memoria Anual 2025. La Paz.</t>
  </si>
  <si>
    <t>Presidencia del Estado Plurinacional de Bolivia. (2000). Decreto Supremo N° 25867. Gaceta Oficial de Bolivia.</t>
  </si>
  <si>
    <t>Swisscontact / Helvetas. (2020). Ficha Informativa - Proyecto Mercados Inclusivos. La Paz.</t>
  </si>
  <si>
    <t>Ministerio de Economía y Finanzas Públicas &amp; BDP-S.A.M. (2017). Fideicomiso Capital Semilla FOCASE. La Paz.</t>
  </si>
  <si>
    <t>BDP-S.A.M. (2017). Ficha Informativa del Fondo FOCASE. La Paz.</t>
  </si>
  <si>
    <t>Banco de Desarrollo Productivo S.A.M. (BDP-S.A.M.). (2020/2025). Memoria Anual. La Paz.</t>
  </si>
  <si>
    <t>GAMLP. (2025). Convocatoria Oficial Reto LAPAZTEC AWS del Bicentenario. La Paz.</t>
  </si>
  <si>
    <t>PRO-BOLIVIA &amp; MDPyEP. (2017/2018). Sistema de Registro y Acreditación de Unidades Productivas. La Paz.</t>
  </si>
  <si>
    <t>BDP-S.A.M. (2019/2025). Programa BDP Lab e Incubadora de Negocios. La Paz.</t>
  </si>
  <si>
    <t>BDP-S.A.M. (2025). Servicios de Asistencia Técnica e Incubación. La Paz.</t>
  </si>
  <si>
    <t>Presidencia del Estado Plurinacional de Bolivia. (1997/2000). Decreto Supremo N° 24591 y Decreto Supremo N° 25867. Gaceta Oficial.</t>
  </si>
  <si>
    <t>Asamblea Legislativa Plurinacional &amp; MDPyEP. (2011/2012). Ley N° 204 del Fondo de Apoyo al Complejo Lácteo y D.S. 1207. Gaceta Oficial.</t>
  </si>
  <si>
    <t>Asamblea Legislativa Plurinacional. (2011). Ley N° 204 de Creación del Fondo de Apoyo al Complejo Productivo Lácteo - PROLECHE. La Paz: Gaceta Oficial del Estado Plurinacional de Bolivia.</t>
  </si>
  <si>
    <t>Ministerio de Desarrollo Productivo y Economía Plural. (2020). Decreto Supremo N° 4423: Reglamentación de la Ley N° 1295 del Fondo PROLECHE. La Paz.</t>
  </si>
  <si>
    <t>Ministerio de Desarrollo Productivo y Economía Plural. (2012). Decreto Supremo N° 1207: Reglamento de la Ley N° 204. La Paz: Gaceta Oficial de Bolivia.</t>
  </si>
  <si>
    <t>Asamblea Legislativa Plurinacional. (2011). Ley N° 204 de Creación del Fondo PROLECHE. La Paz.</t>
  </si>
  <si>
    <t>Presidencia del Estado Plurinacional de Bolivia. (2018). Decreto Supremo N° 3567: Reglamentación de la Ley N° 947 de la Micro y Pequeña Empresa. La Paz.</t>
  </si>
  <si>
    <t>Ministerio de Desarrollo Productivo y Economía Plural. (2024). Anteproyecto del Plan Operativo Anual POA 2025 del MDPyEP. La Paz.</t>
  </si>
  <si>
    <t>Presidencia del Estado Plurinacional de Bolivia. (2009/2021). Decreto Supremo N° 0181 de Normas Básicas del Sistema de Administración de Bienes y Servicios y D.S. 4505. La Paz.</t>
  </si>
  <si>
    <t>Ministerio de Desarrollo Productivo y Economía Plural. (2021). Decreto Supremo N° 4505 de Fomento a la Adquisición Estatal de Bienes Nacionales. La Paz.</t>
  </si>
  <si>
    <t>Instituto Boliviano de Comercio Exterior (IBCE) &amp; Unión Europea. (2024). Vía Verde - Exportar con Sostenibilidad: Programa AL-INVEST Verde. Santa Cruz.</t>
  </si>
  <si>
    <t>Instituto Boliviano de Comercio Exterior (IBCE) &amp; AL-INVEST Verde. (2024). Estrategia de Comunicación e Internacionalización Sostenible. Santa Cruz.</t>
  </si>
  <si>
    <t>Presidencia del Estado Plurinacional de Bolivia. (2004). Decreto Supremo N° 27330 de Declaratoria de Prioridad Nacional de la Simplificación de Trámites. La Paz.</t>
  </si>
  <si>
    <t>Ministerio de Desarrollo Rural y Tierras (MDRyT) - EMPODERAR. (2023). Programa de Alianzas Rurales PAR III. La Paz.</t>
  </si>
  <si>
    <t>Ministerio de Desarrollo Rural y Tierras (MDRyT). (2021). Plan Sectorial de Desarrollo Integral para Vivir Bien PSDI Agrop 2021-2025. La Paz.</t>
  </si>
  <si>
    <t>IBCE &amp; Unión Europea. (2024). Ficha Informativa Vía Verde AL-INVEST Verde. Santa Cruz.</t>
  </si>
  <si>
    <t>Unión Europea, Ayuda en Acción, CNI &amp; CAINCO. (2024). Proyecto Iniciativa 3i Bolivia / Cono Sur: Transición Verde y Triple Impacto. La Paz / Santa Cruz.</t>
  </si>
  <si>
    <t>Presidencia del Estado Plurinacional de Bolivia. (2004). Decreto Supremo N° 27567 de Fortalecimiento del SBPC. Gaceta Oficial de Bolivia.</t>
  </si>
  <si>
    <t>Corporación Andina de Fomento (CAF) &amp; SBPC. (2005). Construcción de ventajas competitivas en Bolivia. La Paz.</t>
  </si>
  <si>
    <t>Corporación Andina de Fomento (CAF). (2005). Construcción de ventajas competitivas en Bolivia: Experiencia del Programa de Apoyo a la Competitividad (PAC). Caracas/La Paz.</t>
  </si>
  <si>
    <t>CAF. (2005). Construcción de ventajas competitivas en Bolivia. Caracas/La Paz.</t>
  </si>
  <si>
    <t>Presidencia del Estado Plurinacional de Bolivia. (2002). Decreto Supremo N° 26743: Acuerdos Bolivianos de Competitividad. La Paz.</t>
  </si>
  <si>
    <t>Presidencia del Estado Plurinacional de Bolivia. (2002). Decreto Supremo N° 26743. La Paz.</t>
  </si>
  <si>
    <t>CAINCO &amp; Unión Europea. (2020). Memoria Final del Programa AL-INVEST 5.0 en Bolivia. Santa Cruz.</t>
  </si>
  <si>
    <t>CAINCO, CEPB &amp; CNC. (2020). Memoria Final del Programa AL-INVEST 5.0 en Bolivia. Santa Cruz.</t>
  </si>
  <si>
    <t>Consorcio Ejecutor AL-INVEST 5.0 Bolivia (CAINCO, CEPB, CNC, INFOCAL). (2020). Memoria del Programa AL-INVEST 5.0. Santa Cruz.</t>
  </si>
  <si>
    <t>Banco de Desarrollo Productivo S.A.M. (2020). Memoria Anual 2020. La Paz.</t>
  </si>
  <si>
    <t>BDP-S.A.M. (2025). Memoria Anual 2025. La Paz.</t>
  </si>
  <si>
    <t>PRO-BOLIVIA &amp; MDPyEP. (2025). Informe de Rendición Pública de Cuentas Inicial 2025. La Paz.</t>
  </si>
  <si>
    <t>Swisscontact &amp; Helvetas. (2020). Proyecto Mercados Inclusivos: Cartilla de Inicio Fase 2. La Paz.</t>
  </si>
  <si>
    <t>Ministerio de Desarrollo Rural y Tierras - EMPODERAR. (2023). Programa de Alianzas Rurales PAR III. La Paz.</t>
  </si>
  <si>
    <t>BID &amp; NAFIBO/BDP-S.A.M. (1999). Convenio Subsidiario del Préstamo BID 1020/SF-BO. La Paz.</t>
  </si>
  <si>
    <t>BDP-S.A.M. (1999/2025). Programa de Apoyo Integral a la Pequeña y Microempresa. La Paz.</t>
  </si>
  <si>
    <t>MDPyEP &amp; MEFP. (2020/2022). Decreto Supremo N° 4424 y Decreto Supremo N° 4790 del Crédito SIBOLIVIA. La Paz.</t>
  </si>
  <si>
    <t>BDP-S.A.M. &amp; Banco Unión S.A. (2020). Administración del Fideicomiso FIREDIN. La Paz.</t>
  </si>
  <si>
    <t>BDP-S.A.M. &amp; PNUD/GEF. (2025). Taxonomía de Finanzas Sostenibles y Ecoeficiencia BDP. La Paz.</t>
  </si>
  <si>
    <t>BDP-S.A.M. (2025). Sistema de Administración de Riesgos Ambientales y Sociales (SARAS) y Sistema MRV. La Paz.</t>
  </si>
  <si>
    <t>BID &amp; BDP-S.A.M. (1999/2025). Subprogramas de Crédito Multisectorial para la MyPE. La Paz.</t>
  </si>
  <si>
    <t>MEFP &amp; BDP-S.A.M. (2007/2025). Patrimonios Autónomos de Fideicomisos Productivos. La Paz.</t>
  </si>
  <si>
    <t>BDP-S.A.M. (2020/2025). Operaciones Crediticias de Primer y Segundo Piso. La Paz.</t>
  </si>
  <si>
    <t>MDPyEP, PRO-BOLIVIA &amp; COSUDE. (2021). Programa PROMYPE Fase II. La Paz.</t>
  </si>
  <si>
    <t>Presidencia del Estado Plurinacional de Bolivia. (2020/2022). Decretos Supremos del Fideicomiso FIREDIN. La Paz.</t>
  </si>
  <si>
    <t>BID Invest &amp; Banco FIE S.A. (2022). Línea de Crédito para el Financiamiento de MiPymes. La Paz.</t>
  </si>
  <si>
    <t>Banco FIE S.A. &amp; BID Invest. (2022). Créditos Productivos de Mediano Plazo para MiPymes. La Paz.</t>
  </si>
  <si>
    <t>CAF, UPC &amp; CID-Harvard. (2005). Construcción de ventajas competitivas en Bolivia. La Paz.</t>
  </si>
  <si>
    <t>Corporación Andina de Fomento (CAF). (2001/2005). Programa de Apoyo a la Competitividad. La Paz.</t>
  </si>
  <si>
    <t>PRO-BOLIVIA. (2025). Prestación de Servicios de Maquinado en CETIPs. La Paz.</t>
  </si>
  <si>
    <t>PRO-BOLIVIA &amp; MDPyEP. (2025). Servicios de Laboratorio y Control de Calidad CETIP. La Paz.</t>
  </si>
  <si>
    <t>PRO-BOLIVIA. (2021). Desarrollo de Prototipos e Innovación en CETIPs. La Paz.</t>
  </si>
  <si>
    <t>PRO-BOLIVIA. (2021/2025). Capacitación Técnica Especializada y Transferencia Tecnológica. La Paz.</t>
  </si>
  <si>
    <t>CAINCO &amp; Unión Europea. (2020). Proyectos de Apoyo Financiero a Terceros (AFT). Santa Cruz.</t>
  </si>
  <si>
    <t>Consorcio AL-INVEST 5.0 Bolivia. (2020). Servicios de Desarrollo Empresarial Grupal. Santa Cruz.</t>
  </si>
  <si>
    <t>PRO-BOLIVIA. (2021/2025). Red de Centros de Tecnología e Innovación Productiva. La Paz.</t>
  </si>
  <si>
    <t>PRO-BOLIVIA &amp; COSUDE. (2021). Adquisición y Entrega de Activos Productivos a MYPEs. La Paz.</t>
  </si>
  <si>
    <t>BDP-S.A.M. &amp; Banco Unión S.A. (2022). Reglamento Operativo del Crédito SIBOLIVIA. La Paz.</t>
  </si>
  <si>
    <t>PROFIN, Swisscontact &amp; Helvetas. (2020). Fondo de Innovación de Mercado (FIM). La Paz.</t>
  </si>
  <si>
    <t>Swisscontact, Helvetas &amp; PROFIN. (2020). Desarrollo de Microseguros Agrícolas. La Paz.</t>
  </si>
  <si>
    <t>Cámara de Cantabria, Fundares &amp; Unión Europea. (2024). Santa Cruz Distrito ZERO. Santa Cruz.</t>
  </si>
  <si>
    <t>Fundares &amp; AL-INVEST Verde. (2024). Formulación de Planes de Sostenibilidad. Santa Cruz.</t>
  </si>
  <si>
    <t>Ayuda en Acción, CNI &amp; CAINCO. (2024). Proyecto Iniciativa 3i Bolivia / Cono Sur. La Paz.</t>
  </si>
  <si>
    <t>Ayuda en Acción &amp; CNI. (2024). Servicios Empresariales de Triple Impacto. La Paz.</t>
  </si>
  <si>
    <t>BDP-S.A.M. (2014/2020). Fideicomisos de Emergencia para la Reconstrucción. La Paz.</t>
  </si>
  <si>
    <t>BDP-S.A.M. (2022/2025). Producto Financiero Ecoeficiencia BDP. La Paz.</t>
  </si>
  <si>
    <t>Fundares &amp; Cámara de Cantabria. (2024). Auditorías de Flujo de Materiales. Santa Cruz.</t>
  </si>
  <si>
    <t>CNI, CAINCO &amp; Ayuda en Acción. (2024). Diagnósticos de Sostenibilidad Ambiental. La Paz.</t>
  </si>
  <si>
    <t>Grupo de soluciones</t>
  </si>
  <si>
    <t>Descripción breve</t>
  </si>
  <si>
    <t>Menciones</t>
  </si>
  <si>
    <t>Entradas (en marcha / hipotéticas)</t>
  </si>
  <si>
    <t>Conocimiento y capacidades (familia)</t>
  </si>
  <si>
    <t>Soluciones que transfieren conocimiento o capacidades a la empresa, a sus dueños o a su entorno. Se presentan en tres subgrupos que forman una misma familia.</t>
  </si>
  <si>
    <t>14/25</t>
  </si>
  <si>
    <t>36 (19 / 17)</t>
  </si>
  <si>
    <t>Formación y acompañamiento</t>
  </si>
  <si>
    <t>Mentoría sostenida, consultor individual asignado, educación ejecutiva, formación en el lugar de trabajo, aceleración, docentes practitioners e intervenciones puntuales de diagnóstico en planta.</t>
  </si>
  <si>
    <t>11/25</t>
  </si>
  <si>
    <t>19 (8 / 11)</t>
  </si>
  <si>
    <t>Demostración y aprendizaje entre pares</t>
  </si>
  <si>
    <t>Foros y benchmarks, ferias de exhibición, casos de éxito como padrinos, comunidades de usuarios, difusión de buenas prácticas existentes y alianzas de innovación abierta universidad-empresa.</t>
  </si>
  <si>
    <t>10/25</t>
  </si>
  <si>
    <t>14 (10 / 4)</t>
  </si>
  <si>
    <t>Adaptación de tecnología</t>
  </si>
  <si>
    <t>Copiar y validar tecnología de contextos comparables, con adaptación local previa a su adopción.</t>
  </si>
  <si>
    <t>2/25</t>
  </si>
  <si>
    <t>3 (1 / 2)</t>
  </si>
  <si>
    <t>Cambiar las reglas</t>
  </si>
  <si>
    <t>Reformas normativas, tributarias, laborales, societarias y sectoriales, y cambios en subsidios o regulación, que modifican el marco en que operan las empresas.</t>
  </si>
  <si>
    <t>28 (4 / 24)</t>
  </si>
  <si>
    <t>Conectar oferta y demanda</t>
  </si>
  <si>
    <t>Mecanismos que articulan al productor con un comprador o mercado: empresa ancla, agregadores, cooperativas, garantías de compra y precio, promoción comercial y mercados regionales o de exportación.</t>
  </si>
  <si>
    <t>13/25</t>
  </si>
  <si>
    <t>19 (11 / 8)</t>
  </si>
  <si>
    <t>Financiar</t>
  </si>
  <si>
    <t>Instrumentos que proveen capital o reducen su costo: crédito, garantías, seguros paramétricos, capital de riesgo, fondos, financiamiento verde y esquemas de coparticipación en el costo.</t>
  </si>
  <si>
    <t>12/25</t>
  </si>
  <si>
    <t>21 (6 / 15)</t>
  </si>
  <si>
    <t>Organizar el ecosistema</t>
  </si>
  <si>
    <t>Arreglos institucionales y de coordinación: champion, entidad ejecutora con Estado veedor, gobernanza separada de la gestión, instancias de diálogo, acuerdos de competitividad y puerta de entrada a la oferta pública.</t>
  </si>
  <si>
    <t>20 (6 / 14)</t>
  </si>
  <si>
    <t>Reposicionar la oferta</t>
  </si>
  <si>
    <t>Cambios en qué y cómo se ofrece: nichos de alto valor, subir un escalón en la cadena, subproductos y economía circular, servicios exportables y valoración de servicios ambientales.</t>
  </si>
  <si>
    <t>23 (6 / 17)</t>
  </si>
  <si>
    <t>Infraestructura y plataformas</t>
  </si>
  <si>
    <t>Infraestructura física, energética y digital habilitante: factura electrónica y datos de la MiPyme, pagos QR, software de gestión, alojamiento turístico y energía.</t>
  </si>
  <si>
    <t>17 (9 / 8)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</si>
</sst>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&quot;€&quot;#,##0.00"/>
  </numFmts>
  <fonts count="19">
    <font>
      <sz val="10.0"/>
      <color rgb="FF000000"/>
      <name val="Arial"/>
      <scheme val="minor"/>
    </font>
    <font>
      <b/>
      <sz val="11.0"/>
      <color rgb="FF000000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b/>
      <sz val="10.0"/>
      <color rgb="FF000000"/>
      <name val="Arial"/>
    </font>
    <font>
      <b/>
      <color rgb="FF000000"/>
      <name val="Arial"/>
    </font>
    <font>
      <sz val="10.0"/>
      <color rgb="FF000000"/>
      <name val="Arial"/>
    </font>
    <font>
      <color rgb="FF000000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sz val="11.0"/>
      <color rgb="FF000000"/>
      <name val="Arial"/>
    </font>
    <font>
      <b/>
      <sz val="8.0"/>
      <color rgb="FFFFFFFF"/>
      <name val="Arial"/>
      <scheme val="minor"/>
    </font>
    <font>
      <b/>
      <sz val="8.0"/>
      <color rgb="FF000000"/>
      <name val="Arial"/>
      <scheme val="minor"/>
    </font>
    <font>
      <sz val="8.0"/>
      <color rgb="FF000000"/>
      <name val="Arial"/>
      <scheme val="minor"/>
    </font>
    <font>
      <b/>
      <sz val="8.0"/>
      <color theme="1"/>
      <name val="Arial"/>
      <scheme val="minor"/>
    </font>
    <font>
      <sz val="8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1F4E78"/>
        <bgColor rgb="FF1F4E78"/>
      </patternFill>
    </fill>
    <fill>
      <patternFill patternType="solid">
        <fgColor rgb="FFDEEAF6"/>
        <bgColor rgb="FFDEEAF6"/>
      </patternFill>
    </fill>
    <fill>
      <patternFill patternType="solid">
        <fgColor rgb="FFF2F2F2"/>
        <bgColor rgb="FFF2F2F2"/>
      </patternFill>
    </fill>
  </fills>
  <borders count="5">
    <border/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bottom style="thick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1"/>
    </xf>
    <xf borderId="1" fillId="2" fontId="1" numFmtId="49" xfId="0" applyAlignment="1" applyBorder="1" applyFill="1" applyFont="1" applyNumberFormat="1">
      <alignment horizontal="left" readingOrder="0" shrinkToFit="0" vertical="top" wrapText="1"/>
    </xf>
    <xf borderId="1" fillId="2" fontId="1" numFmtId="49" xfId="0" applyAlignment="1" applyBorder="1" applyFill="1" applyFont="1" applyNumberFormat="1">
      <alignment readingOrder="0" shrinkToFit="0" vertical="top" wrapText="1"/>
    </xf>
    <xf borderId="1" fillId="0" fontId="2" numFmtId="0" xfId="0" applyBorder="1" applyFont="1"/>
    <xf borderId="1" fillId="2" fontId="3" numFmtId="0" xfId="0" applyAlignment="1" applyBorder="1" applyFill="1" applyFont="1">
      <alignment readingOrder="0" shrinkToFit="0" vertical="top" wrapText="1"/>
    </xf>
    <xf borderId="1" fillId="0" fontId="4" numFmtId="0" xfId="0" applyAlignment="1" applyBorder="1" applyFont="1">
      <alignment shrinkToFit="0" vertical="top" wrapText="1"/>
    </xf>
    <xf borderId="1" fillId="2" fontId="1" numFmtId="0" xfId="0" applyAlignment="1" applyBorder="1" applyFill="1" applyFont="1">
      <alignment horizontal="left" shrinkToFit="0" vertical="top" wrapText="1"/>
    </xf>
    <xf borderId="2" fillId="3" fontId="5" numFmtId="0" xfId="0" applyAlignment="1" applyBorder="1" applyFill="1" applyFont="1">
      <alignment horizontal="left" readingOrder="0" shrinkToFit="0" vertical="top" wrapText="1"/>
    </xf>
    <xf borderId="3" fillId="3" fontId="1" numFmtId="0" xfId="0" applyAlignment="1" applyBorder="1" applyFill="1" applyFont="1">
      <alignment horizontal="left" readingOrder="0" shrinkToFit="0" vertical="top" wrapText="1"/>
    </xf>
    <xf borderId="3" fillId="3" fontId="5" numFmtId="0" xfId="0" applyAlignment="1" applyBorder="1" applyFill="1" applyFont="1">
      <alignment horizontal="left" readingOrder="0" shrinkToFit="0" vertical="top" wrapText="1"/>
    </xf>
    <xf borderId="3" fillId="3" fontId="5" numFmtId="0" xfId="0" applyAlignment="1" applyBorder="1" applyFill="1" applyFont="1">
      <alignment readingOrder="0" shrinkToFit="0" vertical="top" wrapText="1"/>
    </xf>
    <xf borderId="1" fillId="3" fontId="5" numFmtId="0" xfId="0" applyAlignment="1" applyBorder="1" applyFill="1" applyFont="1">
      <alignment horizontal="left" readingOrder="0" shrinkToFit="0" vertical="top" wrapText="1"/>
    </xf>
    <xf borderId="1" fillId="3" fontId="4" numFmtId="0" xfId="0" applyAlignment="1" applyBorder="1" applyFill="1" applyFont="1">
      <alignment shrinkToFit="0" vertical="top" wrapText="1"/>
    </xf>
    <xf borderId="1" fillId="3" fontId="5" numFmtId="4" xfId="0" applyAlignment="1" applyBorder="1" applyFill="1" applyFont="1" applyNumberFormat="1">
      <alignment horizontal="left" readingOrder="0" shrinkToFit="0" vertical="top" wrapText="1"/>
    </xf>
    <xf borderId="0" fillId="0" fontId="6" numFmtId="0" xfId="0" applyAlignment="1" applyFont="1">
      <alignment horizontal="center" readingOrder="0" shrinkToFit="0" vertical="top" wrapText="1"/>
    </xf>
    <xf borderId="0" fillId="0" fontId="7" numFmtId="0" xfId="0" applyAlignment="1" applyFont="1">
      <alignment horizontal="center" readingOrder="0" shrinkToFit="0" vertical="top" wrapText="1"/>
    </xf>
    <xf borderId="0" fillId="0" fontId="8" numFmtId="0" xfId="0" applyAlignment="1" applyFont="1">
      <alignment readingOrder="0" shrinkToFit="0" vertical="top" wrapText="1"/>
    </xf>
    <xf borderId="0" fillId="0" fontId="9" numFmtId="0" xfId="0" applyAlignment="1" applyFont="1">
      <alignment shrinkToFit="0" vertical="top" wrapText="1"/>
    </xf>
    <xf borderId="1" fillId="3" fontId="5" numFmtId="0" xfId="0" applyAlignment="1" applyBorder="1" applyFill="1" applyFont="1">
      <alignment horizontal="left" shrinkToFit="0" vertical="top" wrapText="1"/>
    </xf>
    <xf borderId="0" fillId="0" fontId="10" numFmtId="0" xfId="0" applyAlignment="1" applyFont="1">
      <alignment horizontal="center" readingOrder="0" shrinkToFit="0" vertical="center" wrapText="0"/>
    </xf>
    <xf borderId="0" fillId="0" fontId="10" numFmtId="0" xfId="0" applyAlignment="1" applyFont="1">
      <alignment horizontal="left" readingOrder="0" shrinkToFit="0" vertical="top" wrapText="1"/>
    </xf>
    <xf borderId="0" fillId="0" fontId="10" numFmtId="0" xfId="0" applyAlignment="1" applyFont="1">
      <alignment horizontal="left" readingOrder="0" shrinkToFit="0" vertical="center" wrapText="0"/>
    </xf>
    <xf borderId="0" fillId="0" fontId="10" numFmtId="49" xfId="0" applyAlignment="1" applyFont="1" applyNumberFormat="1">
      <alignment horizontal="left" readingOrder="0" shrinkToFit="0" vertical="top" wrapText="1"/>
    </xf>
    <xf borderId="0" fillId="0" fontId="10" numFmtId="0" xfId="0" applyAlignment="1" applyFont="1">
      <alignment horizontal="left" readingOrder="0" shrinkToFit="0" vertical="top" wrapText="1"/>
    </xf>
    <xf borderId="0" fillId="0" fontId="11" numFmtId="0" xfId="0" applyAlignment="1" applyFont="1">
      <alignment horizontal="left" vertical="top"/>
    </xf>
    <xf borderId="0" fillId="0" fontId="12" numFmtId="0" xfId="0" applyAlignment="1" applyFont="1">
      <alignment readingOrder="0" shrinkToFit="0" vertical="top" wrapText="1"/>
    </xf>
    <xf borderId="3" fillId="3" fontId="4" numFmtId="0" xfId="0" applyAlignment="1" applyBorder="1" applyFill="1" applyFont="1">
      <alignment shrinkToFit="0" vertical="top" wrapText="1"/>
    </xf>
    <xf borderId="0" fillId="0" fontId="11" numFmtId="0" xfId="0" applyAlignment="1" applyFont="1">
      <alignment horizontal="center" readingOrder="0" shrinkToFit="0" vertical="center" wrapText="0"/>
    </xf>
    <xf borderId="0" fillId="0" fontId="13" numFmtId="0" xfId="0" applyAlignment="1" applyFont="1">
      <alignment horizontal="left" readingOrder="0" shrinkToFit="0" vertical="top" wrapText="1"/>
    </xf>
    <xf borderId="3" fillId="0" fontId="4" numFmtId="0" xfId="0" applyAlignment="1" applyBorder="1" applyFont="1">
      <alignment shrinkToFit="0" vertical="top" wrapText="1"/>
    </xf>
    <xf borderId="0" fillId="0" fontId="11" numFmtId="0" xfId="0" applyAlignment="1" applyFont="1">
      <alignment horizontal="left" readingOrder="0" shrinkToFit="0" vertical="center" wrapText="0"/>
    </xf>
    <xf borderId="3" fillId="3" fontId="5" numFmtId="4" xfId="0" applyAlignment="1" applyBorder="1" applyFill="1" applyFont="1" applyNumberFormat="1">
      <alignment horizontal="left" readingOrder="0" shrinkToFit="0" vertical="top" wrapText="1"/>
    </xf>
    <xf borderId="3" fillId="3" fontId="5" numFmtId="0" xfId="0" applyAlignment="1" applyBorder="1" applyFill="1" applyFont="1">
      <alignment horizontal="left" shrinkToFit="0" vertical="top" wrapText="1"/>
    </xf>
    <xf borderId="0" fillId="0" fontId="11" numFmtId="0" xfId="0" applyAlignment="1" applyFont="1">
      <alignment horizontal="left" shrinkToFit="0" vertical="top" wrapText="1"/>
    </xf>
    <xf borderId="3" fillId="3" fontId="5" numFmtId="0" xfId="0" applyAlignment="1" applyBorder="1" applyFill="1" applyFont="1">
      <alignment shrinkToFit="0" vertical="top" wrapText="1"/>
    </xf>
    <xf borderId="0" fillId="0" fontId="11" numFmtId="10" xfId="0" applyAlignment="1" applyFont="1" applyNumberFormat="1">
      <alignment horizontal="left" shrinkToFit="0" vertical="top" wrapText="1"/>
    </xf>
    <xf borderId="0" fillId="0" fontId="11" numFmtId="0" xfId="0" applyAlignment="1" applyFont="1">
      <alignment horizontal="left" shrinkToFit="0" vertical="top" wrapText="1"/>
    </xf>
    <xf borderId="0" fillId="0" fontId="11" numFmtId="164" xfId="0" applyAlignment="1" applyFont="1" applyNumberFormat="1">
      <alignment horizontal="left" shrinkToFit="0" vertical="top" wrapText="1"/>
    </xf>
    <xf borderId="0" fillId="0" fontId="8" numFmtId="0" xfId="0" applyAlignment="1" applyFont="1">
      <alignment horizontal="left" readingOrder="0" shrinkToFit="0" vertical="top" wrapText="1"/>
    </xf>
    <xf borderId="0" fillId="0" fontId="11" numFmtId="0" xfId="0" applyAlignment="1" applyFont="1">
      <alignment horizontal="left" readingOrder="0" shrinkToFit="0" vertical="top" wrapText="1"/>
    </xf>
    <xf borderId="0" fillId="0" fontId="11" numFmtId="0" xfId="0" applyAlignment="1" applyFont="1">
      <alignment horizontal="right" readingOrder="0"/>
    </xf>
    <xf borderId="0" fillId="0" fontId="11" numFmtId="0" xfId="0" applyAlignment="1" applyFont="1">
      <alignment horizontal="left" shrinkToFit="0" vertical="top" wrapText="1"/>
    </xf>
    <xf borderId="0" fillId="0" fontId="12" numFmtId="0" xfId="0" applyAlignment="1" applyFont="1">
      <alignment horizontal="left" readingOrder="0" shrinkToFit="0" vertical="top" wrapText="1"/>
    </xf>
    <xf borderId="0" fillId="0" fontId="11" numFmtId="0" xfId="0" applyAlignment="1" applyFont="1">
      <alignment horizontal="center" shrinkToFit="0" vertical="center" wrapText="0"/>
    </xf>
    <xf borderId="0" fillId="0" fontId="11" numFmtId="0" xfId="0" applyAlignment="1" applyFont="1">
      <alignment horizontal="left" shrinkToFit="0" vertical="center" wrapText="0"/>
    </xf>
    <xf borderId="0" fillId="0" fontId="11" numFmtId="9" xfId="0" applyAlignment="1" applyFont="1" applyNumberFormat="1">
      <alignment horizontal="left" readingOrder="0" shrinkToFit="0" vertical="center" wrapText="0"/>
    </xf>
    <xf borderId="0" fillId="0" fontId="8" numFmtId="0" xfId="0" applyAlignment="1" applyFont="1">
      <alignment horizontal="left" shrinkToFit="0" vertical="top" wrapText="1"/>
    </xf>
    <xf borderId="0" fillId="0" fontId="11" numFmtId="0" xfId="0" applyAlignment="1" applyFont="1">
      <alignment horizontal="left" shrinkToFit="0" vertical="center" wrapText="0"/>
    </xf>
    <xf borderId="0" fillId="0" fontId="11" numFmtId="0" xfId="0" applyAlignment="1" applyFont="1">
      <alignment horizontal="center" vertical="top"/>
    </xf>
    <xf borderId="0" fillId="0" fontId="8" numFmtId="0" xfId="0" applyAlignment="1" applyFont="1">
      <alignment shrinkToFit="0" vertical="top" wrapText="1"/>
    </xf>
    <xf borderId="0" fillId="0" fontId="9" numFmtId="0" xfId="0" applyAlignment="1" applyFont="1">
      <alignment shrinkToFit="0" vertical="top" wrapText="1"/>
    </xf>
    <xf borderId="3" fillId="3" fontId="5" numFmtId="165" xfId="0" applyAlignment="1" applyBorder="1" applyFill="1" applyFont="1" applyNumberFormat="1">
      <alignment horizontal="left" readingOrder="0" shrinkToFit="0" vertical="top" wrapText="1"/>
    </xf>
    <xf borderId="0" fillId="0" fontId="4" numFmtId="0" xfId="0" applyAlignment="1" applyFont="1">
      <alignment shrinkToFit="0" vertical="top" wrapText="1"/>
    </xf>
    <xf borderId="4" fillId="0" fontId="6" numFmtId="0" xfId="0" applyAlignment="1" applyBorder="1" applyFont="1">
      <alignment horizontal="left" readingOrder="0" shrinkToFit="0" vertical="top" wrapText="1"/>
    </xf>
    <xf borderId="4" fillId="0" fontId="10" numFmtId="0" xfId="0" applyAlignment="1" applyBorder="1" applyFont="1">
      <alignment horizontal="left" readingOrder="0" shrinkToFit="0" vertical="top" wrapText="1"/>
    </xf>
    <xf borderId="0" fillId="0" fontId="10" numFmtId="0" xfId="0" applyAlignment="1" applyFont="1">
      <alignment vertical="top"/>
    </xf>
    <xf borderId="0" fillId="0" fontId="11" numFmtId="0" xfId="0" applyAlignment="1" applyFont="1">
      <alignment vertical="top"/>
    </xf>
    <xf borderId="1" fillId="0" fontId="8" numFmtId="0" xfId="0" applyAlignment="1" applyBorder="1" applyFont="1">
      <alignment horizontal="left" readingOrder="0" shrinkToFit="0" vertical="top" wrapText="1"/>
    </xf>
    <xf borderId="1" fillId="0" fontId="11" numFmtId="0" xfId="0" applyAlignment="1" applyBorder="1" applyFont="1">
      <alignment vertical="top"/>
    </xf>
    <xf borderId="0" fillId="4" fontId="14" numFmtId="0" xfId="0" applyAlignment="1" applyFill="1" applyFont="1">
      <alignment readingOrder="0" shrinkToFit="0" vertical="top" wrapText="1"/>
    </xf>
    <xf borderId="0" fillId="0" fontId="11" numFmtId="0" xfId="0" applyAlignment="1" applyFont="1">
      <alignment shrinkToFit="0" vertical="top" wrapText="1"/>
    </xf>
    <xf borderId="0" fillId="5" fontId="15" numFmtId="0" xfId="0" applyAlignment="1" applyFill="1" applyFont="1">
      <alignment readingOrder="0"/>
    </xf>
    <xf borderId="0" fillId="5" fontId="16" numFmtId="0" xfId="0" applyAlignment="1" applyFill="1" applyFont="1">
      <alignment readingOrder="0"/>
    </xf>
    <xf borderId="0" fillId="6" fontId="15" numFmtId="0" xfId="0" applyAlignment="1" applyFill="1" applyFont="1">
      <alignment readingOrder="0"/>
    </xf>
    <xf borderId="0" fillId="6" fontId="16" numFmtId="0" xfId="0" applyAlignment="1" applyFill="1" applyFont="1">
      <alignment readingOrder="0"/>
    </xf>
    <xf borderId="0" fillId="0" fontId="17" numFmtId="0" xfId="0" applyAlignment="1" applyFont="1">
      <alignment readingOrder="0"/>
    </xf>
    <xf borderId="0" fillId="0" fontId="18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2" pivot="0" name=" Guía de mapeo (problemas)-style">
      <tableStyleElement dxfId="1" type="firstRowStripe"/>
      <tableStyleElement dxfId="2" type="secondRowStripe"/>
    </tableStyle>
    <tableStyle count="4" pivot="0" name="Frecuencia de instrumentos-style">
      <tableStyleElement dxfId="3" type="headerRow"/>
      <tableStyleElement dxfId="1" type="firstRowStripe"/>
      <tableStyleElement dxfId="2" type="secondRowStripe"/>
      <tableStyleElement dxfId="4" size="0" type="wholeTable"/>
    </tableStyle>
    <tableStyle count="4" pivot="0" name="Recurrencia y cobertura-style">
      <tableStyleElement dxfId="3" type="headerRow"/>
      <tableStyleElement dxfId="1" type="firstRowStripe"/>
      <tableStyleElement dxfId="2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AG22" displayName="Table_1" name="Table_1" id="1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 Guía de mapeo (problemas)-style" showColumnStripes="0" showFirstColumn="1" showLastColumn="1" showRowStripes="1"/>
</table>
</file>

<file path=xl/tables/table2.xml><?xml version="1.0" encoding="utf-8"?>
<table xmlns="http://schemas.openxmlformats.org/spreadsheetml/2006/main" ref="A1:E7" displayName="Tabla_2" name="Tabla_2" id="3">
  <tableColumns count="5">
    <tableColumn name="Categoría" id="1"/>
    <tableColumn name="Cantidad Problemas" id="2"/>
    <tableColumn name="% de recurrencia" id="3"/>
    <tableColumn name="Cobertura" id="4"/>
    <tableColumn name="Cobertura promedio" id="5"/>
  </tableColumns>
  <tableStyleInfo name="Recurrencia y cobertura-style" showColumnStripes="0" showFirstColumn="1" showLastColumn="1" showRowStripes="1"/>
</table>
</file>

<file path=xl/tables/table3.xml><?xml version="1.0" encoding="utf-8"?>
<table xmlns="http://schemas.openxmlformats.org/spreadsheetml/2006/main" ref="A1:F26" displayName="Tabla_1" name="Tabla_1" id="2">
  <tableColumns count="6">
    <tableColumn name="Ranking" id="1"/>
    <tableColumn name="Tipo de instrumento" id="2"/>
    <tableColumn name="Categoría analítica" id="3"/>
    <tableColumn name="Nº de apariciones" id="4"/>
    <tableColumn name="% del total" id="5"/>
    <tableColumn name="Nivel de recurrencia" id="6"/>
  </tableColumns>
  <tableStyleInfo name="Frecuencia de instrument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38"/>
    <col customWidth="1" min="2" max="2" width="15.75"/>
    <col customWidth="1" min="3" max="3" width="33.38"/>
    <col customWidth="1" min="4" max="5" width="25.38"/>
    <col customWidth="1" hidden="1" min="6" max="6" width="25.38"/>
    <col customWidth="1" min="7" max="10" width="38.88"/>
    <col hidden="1" min="11" max="35" width="12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1" t="s">
        <v>6</v>
      </c>
      <c r="H1" s="4"/>
      <c r="I1" s="4"/>
      <c r="J1" s="4"/>
      <c r="K1" s="1" t="s">
        <v>7</v>
      </c>
      <c r="L1" s="1" t="s">
        <v>8</v>
      </c>
      <c r="M1" s="2" t="s">
        <v>9</v>
      </c>
      <c r="N1" s="5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6"/>
      <c r="W1" s="1" t="s">
        <v>18</v>
      </c>
      <c r="X1" s="1" t="s">
        <v>19</v>
      </c>
      <c r="Y1" s="1" t="s">
        <v>20</v>
      </c>
      <c r="Z1" s="1" t="s">
        <v>21</v>
      </c>
      <c r="AA1" s="2" t="s">
        <v>22</v>
      </c>
      <c r="AB1" s="1" t="s">
        <v>23</v>
      </c>
      <c r="AC1" s="2" t="s">
        <v>24</v>
      </c>
      <c r="AD1" s="2" t="s">
        <v>25</v>
      </c>
      <c r="AE1" s="1" t="s">
        <v>26</v>
      </c>
      <c r="AF1" s="1" t="s">
        <v>27</v>
      </c>
      <c r="AG1" s="1" t="s">
        <v>28</v>
      </c>
      <c r="AH1" s="7"/>
      <c r="AI1" s="7"/>
    </row>
    <row r="2">
      <c r="A2" s="8" t="s">
        <v>29</v>
      </c>
      <c r="B2" s="9" t="s">
        <v>30</v>
      </c>
      <c r="C2" s="10" t="s">
        <v>31</v>
      </c>
      <c r="D2" s="10" t="s">
        <v>32</v>
      </c>
      <c r="E2" s="11" t="s">
        <v>33</v>
      </c>
      <c r="F2" s="10"/>
      <c r="G2" s="10" t="s">
        <v>34</v>
      </c>
      <c r="H2" s="12" t="s">
        <v>35</v>
      </c>
      <c r="I2" s="12" t="s">
        <v>36</v>
      </c>
      <c r="J2" s="12" t="s">
        <v>37</v>
      </c>
      <c r="K2" s="12" t="s">
        <v>38</v>
      </c>
      <c r="L2" s="12">
        <v>1997.0</v>
      </c>
      <c r="M2" s="12">
        <v>29.0</v>
      </c>
      <c r="N2" s="13"/>
      <c r="O2" s="12" t="s">
        <v>39</v>
      </c>
      <c r="P2" s="12" t="s">
        <v>40</v>
      </c>
      <c r="Q2" s="12" t="s">
        <v>41</v>
      </c>
      <c r="R2" s="12" t="s">
        <v>42</v>
      </c>
      <c r="S2" s="12" t="s">
        <v>43</v>
      </c>
      <c r="T2" s="12" t="s">
        <v>44</v>
      </c>
      <c r="U2" s="12" t="s">
        <v>45</v>
      </c>
      <c r="V2" s="6"/>
      <c r="W2" s="12" t="s">
        <v>46</v>
      </c>
      <c r="X2" s="12" t="s">
        <v>47</v>
      </c>
      <c r="Y2" s="12"/>
      <c r="Z2" s="12" t="s">
        <v>48</v>
      </c>
      <c r="AA2" s="12" t="s">
        <v>49</v>
      </c>
      <c r="AB2" s="14">
        <v>1.635E7</v>
      </c>
      <c r="AC2" s="14" t="str">
        <f t="shared" ref="AC2:AC3" si="1">AA2</f>
        <v>USD</v>
      </c>
      <c r="AD2" s="14">
        <f>5750000/93463</f>
        <v>61.52167168</v>
      </c>
      <c r="AE2" s="12" t="s">
        <v>66</v>
      </c>
      <c r="AF2" s="12" t="s">
        <v>67</v>
      </c>
      <c r="AG2" s="12" t="s">
        <v>68</v>
      </c>
      <c r="AH2" s="19"/>
      <c r="AI2" s="19"/>
    </row>
    <row r="3">
      <c r="A3" s="8" t="s">
        <v>73</v>
      </c>
      <c r="B3" s="10" t="s">
        <v>76</v>
      </c>
      <c r="C3" s="10" t="s">
        <v>84</v>
      </c>
      <c r="D3" s="10" t="s">
        <v>91</v>
      </c>
      <c r="E3" s="11" t="s">
        <v>95</v>
      </c>
      <c r="F3" s="10"/>
      <c r="G3" s="10" t="s">
        <v>97</v>
      </c>
      <c r="H3" s="10" t="s">
        <v>99</v>
      </c>
      <c r="I3" s="10" t="s">
        <v>101</v>
      </c>
      <c r="J3" s="10"/>
      <c r="K3" s="10" t="s">
        <v>103</v>
      </c>
      <c r="L3" s="10">
        <v>1999.0</v>
      </c>
      <c r="M3" s="10">
        <f>2026-L3</f>
        <v>27</v>
      </c>
      <c r="N3" s="27"/>
      <c r="O3" s="10" t="s">
        <v>111</v>
      </c>
      <c r="P3" s="10" t="s">
        <v>40</v>
      </c>
      <c r="Q3" s="10" t="s">
        <v>113</v>
      </c>
      <c r="R3" s="10" t="s">
        <v>114</v>
      </c>
      <c r="S3" s="10" t="s">
        <v>115</v>
      </c>
      <c r="T3" s="10" t="s">
        <v>44</v>
      </c>
      <c r="U3" s="10"/>
      <c r="V3" s="30"/>
      <c r="W3" s="10" t="s">
        <v>46</v>
      </c>
      <c r="X3" s="10"/>
      <c r="Y3" s="10" t="s">
        <v>121</v>
      </c>
      <c r="Z3" s="10" t="s">
        <v>123</v>
      </c>
      <c r="AA3" s="10" t="s">
        <v>49</v>
      </c>
      <c r="AB3" s="32">
        <v>1.635E7</v>
      </c>
      <c r="AC3" s="32" t="str">
        <f t="shared" si="1"/>
        <v>USD</v>
      </c>
      <c r="AD3" s="32">
        <f>AB3/600</f>
        <v>27250</v>
      </c>
      <c r="AE3" s="10" t="s">
        <v>134</v>
      </c>
      <c r="AF3" s="10" t="s">
        <v>135</v>
      </c>
      <c r="AG3" s="10" t="s">
        <v>137</v>
      </c>
      <c r="AH3" s="33"/>
      <c r="AI3" s="33"/>
    </row>
    <row r="4">
      <c r="A4" s="8" t="s">
        <v>141</v>
      </c>
      <c r="B4" s="10" t="s">
        <v>142</v>
      </c>
      <c r="C4" s="10" t="s">
        <v>144</v>
      </c>
      <c r="D4" s="10" t="s">
        <v>146</v>
      </c>
      <c r="E4" s="11" t="s">
        <v>149</v>
      </c>
      <c r="F4" s="10"/>
      <c r="G4" s="10" t="s">
        <v>150</v>
      </c>
      <c r="H4" s="10" t="s">
        <v>151</v>
      </c>
      <c r="I4" s="10" t="s">
        <v>153</v>
      </c>
      <c r="J4" s="10"/>
      <c r="K4" s="10" t="s">
        <v>154</v>
      </c>
      <c r="L4" s="10" t="s">
        <v>157</v>
      </c>
      <c r="M4" s="10" t="s">
        <v>159</v>
      </c>
      <c r="N4" s="27"/>
      <c r="O4" s="10" t="s">
        <v>160</v>
      </c>
      <c r="P4" s="10" t="s">
        <v>40</v>
      </c>
      <c r="Q4" s="10" t="s">
        <v>161</v>
      </c>
      <c r="R4" s="10" t="s">
        <v>162</v>
      </c>
      <c r="S4" s="10" t="s">
        <v>164</v>
      </c>
      <c r="T4" s="10" t="s">
        <v>165</v>
      </c>
      <c r="U4" s="10"/>
      <c r="V4" s="30"/>
      <c r="W4" s="10" t="s">
        <v>167</v>
      </c>
      <c r="X4" s="10"/>
      <c r="Y4" s="10"/>
      <c r="Z4" s="10" t="s">
        <v>169</v>
      </c>
      <c r="AA4" s="10"/>
      <c r="AB4" s="32"/>
      <c r="AC4" s="10"/>
      <c r="AD4" s="32"/>
      <c r="AE4" s="10" t="s">
        <v>171</v>
      </c>
      <c r="AF4" s="10" t="s">
        <v>172</v>
      </c>
      <c r="AG4" s="10" t="s">
        <v>173</v>
      </c>
      <c r="AH4" s="35"/>
      <c r="AI4" s="35"/>
    </row>
    <row r="5">
      <c r="A5" s="8" t="s">
        <v>176</v>
      </c>
      <c r="B5" s="9" t="s">
        <v>177</v>
      </c>
      <c r="C5" s="10" t="s">
        <v>180</v>
      </c>
      <c r="D5" s="10" t="s">
        <v>181</v>
      </c>
      <c r="E5" s="11" t="s">
        <v>149</v>
      </c>
      <c r="F5" s="11"/>
      <c r="G5" s="10" t="s">
        <v>189</v>
      </c>
      <c r="H5" s="10" t="s">
        <v>190</v>
      </c>
      <c r="I5" s="10" t="s">
        <v>192</v>
      </c>
      <c r="J5" s="10"/>
      <c r="K5" s="10" t="s">
        <v>195</v>
      </c>
      <c r="L5" s="10">
        <v>2001.0</v>
      </c>
      <c r="M5" s="10">
        <v>25.0</v>
      </c>
      <c r="N5" s="27"/>
      <c r="O5" s="10" t="s">
        <v>196</v>
      </c>
      <c r="P5" s="10" t="s">
        <v>40</v>
      </c>
      <c r="Q5" s="10" t="s">
        <v>41</v>
      </c>
      <c r="R5" s="10" t="s">
        <v>198</v>
      </c>
      <c r="S5" s="10" t="s">
        <v>199</v>
      </c>
      <c r="T5" s="10" t="s">
        <v>200</v>
      </c>
      <c r="U5" s="10"/>
      <c r="V5" s="30"/>
      <c r="W5" s="10" t="s">
        <v>46</v>
      </c>
      <c r="X5" s="10"/>
      <c r="Y5" s="10" t="s">
        <v>203</v>
      </c>
      <c r="Z5" s="10" t="s">
        <v>204</v>
      </c>
      <c r="AA5" s="10" t="s">
        <v>49</v>
      </c>
      <c r="AB5" s="32">
        <v>80000.0</v>
      </c>
      <c r="AC5" s="32" t="str">
        <f t="shared" ref="AC5:AC13" si="2">AA5</f>
        <v>USD</v>
      </c>
      <c r="AD5" s="32"/>
      <c r="AE5" s="10" t="s">
        <v>209</v>
      </c>
      <c r="AF5" s="10" t="s">
        <v>211</v>
      </c>
      <c r="AG5" s="10" t="s">
        <v>212</v>
      </c>
      <c r="AH5" s="33"/>
      <c r="AI5" s="33"/>
    </row>
    <row r="6">
      <c r="A6" s="8" t="s">
        <v>213</v>
      </c>
      <c r="B6" s="10" t="s">
        <v>214</v>
      </c>
      <c r="C6" s="10" t="s">
        <v>216</v>
      </c>
      <c r="D6" s="10" t="s">
        <v>217</v>
      </c>
      <c r="E6" s="11" t="s">
        <v>178</v>
      </c>
      <c r="F6" s="10"/>
      <c r="G6" s="10" t="s">
        <v>221</v>
      </c>
      <c r="H6" s="10" t="s">
        <v>222</v>
      </c>
      <c r="I6" s="10" t="s">
        <v>224</v>
      </c>
      <c r="J6" s="10"/>
      <c r="K6" s="10" t="s">
        <v>226</v>
      </c>
      <c r="L6" s="10">
        <v>2017.0</v>
      </c>
      <c r="M6" s="10">
        <f t="shared" ref="M6:M7" si="3">2026-L6</f>
        <v>9</v>
      </c>
      <c r="N6" s="27"/>
      <c r="O6" s="10" t="s">
        <v>230</v>
      </c>
      <c r="P6" s="10" t="s">
        <v>231</v>
      </c>
      <c r="Q6" s="10" t="s">
        <v>233</v>
      </c>
      <c r="R6" s="10" t="s">
        <v>235</v>
      </c>
      <c r="S6" s="10" t="s">
        <v>236</v>
      </c>
      <c r="T6" s="10" t="s">
        <v>44</v>
      </c>
      <c r="U6" s="10"/>
      <c r="V6" s="30"/>
      <c r="W6" s="10" t="s">
        <v>46</v>
      </c>
      <c r="X6" s="10"/>
      <c r="Y6" s="10" t="s">
        <v>238</v>
      </c>
      <c r="Z6" s="10"/>
      <c r="AA6" s="10" t="s">
        <v>240</v>
      </c>
      <c r="AB6" s="32">
        <v>1036189.0</v>
      </c>
      <c r="AC6" s="32" t="str">
        <f t="shared" si="2"/>
        <v>BOB</v>
      </c>
      <c r="AD6" s="32">
        <f>AB6/36926</f>
        <v>28.06123057</v>
      </c>
      <c r="AE6" s="10" t="s">
        <v>244</v>
      </c>
      <c r="AF6" s="10" t="s">
        <v>246</v>
      </c>
      <c r="AG6" s="10" t="s">
        <v>247</v>
      </c>
      <c r="AH6" s="33"/>
      <c r="AI6" s="33"/>
    </row>
    <row r="7">
      <c r="A7" s="8" t="s">
        <v>249</v>
      </c>
      <c r="B7" s="10" t="s">
        <v>250</v>
      </c>
      <c r="C7" s="10" t="s">
        <v>251</v>
      </c>
      <c r="D7" s="10" t="s">
        <v>252</v>
      </c>
      <c r="E7" s="11" t="s">
        <v>95</v>
      </c>
      <c r="F7" s="10"/>
      <c r="G7" s="10" t="s">
        <v>255</v>
      </c>
      <c r="H7" s="10" t="s">
        <v>256</v>
      </c>
      <c r="I7" s="10" t="s">
        <v>257</v>
      </c>
      <c r="J7" s="10"/>
      <c r="K7" s="10" t="s">
        <v>226</v>
      </c>
      <c r="L7" s="10">
        <v>2011.0</v>
      </c>
      <c r="M7" s="10">
        <f t="shared" si="3"/>
        <v>15</v>
      </c>
      <c r="N7" s="27"/>
      <c r="O7" s="10" t="s">
        <v>262</v>
      </c>
      <c r="P7" s="10" t="s">
        <v>231</v>
      </c>
      <c r="Q7" s="10" t="s">
        <v>263</v>
      </c>
      <c r="R7" s="10" t="s">
        <v>264</v>
      </c>
      <c r="S7" s="10" t="s">
        <v>265</v>
      </c>
      <c r="T7" s="10" t="s">
        <v>267</v>
      </c>
      <c r="U7" s="10" t="s">
        <v>268</v>
      </c>
      <c r="V7" s="30"/>
      <c r="W7" s="10" t="s">
        <v>46</v>
      </c>
      <c r="X7" s="10"/>
      <c r="Y7" s="10" t="s">
        <v>270</v>
      </c>
      <c r="Z7" s="10"/>
      <c r="AA7" s="10" t="s">
        <v>240</v>
      </c>
      <c r="AB7" s="32">
        <v>2.64E7</v>
      </c>
      <c r="AC7" s="32" t="str">
        <f t="shared" si="2"/>
        <v>BOB</v>
      </c>
      <c r="AD7" s="32">
        <f>AB7/16</f>
        <v>1650000</v>
      </c>
      <c r="AE7" s="10" t="s">
        <v>276</v>
      </c>
      <c r="AF7" s="10" t="s">
        <v>278</v>
      </c>
      <c r="AG7" s="10" t="s">
        <v>279</v>
      </c>
      <c r="AH7" s="33"/>
      <c r="AI7" s="33"/>
    </row>
    <row r="8">
      <c r="A8" s="8" t="s">
        <v>281</v>
      </c>
      <c r="B8" s="10" t="s">
        <v>282</v>
      </c>
      <c r="C8" s="10" t="s">
        <v>283</v>
      </c>
      <c r="D8" s="10" t="s">
        <v>284</v>
      </c>
      <c r="E8" s="11" t="s">
        <v>95</v>
      </c>
      <c r="F8" s="10"/>
      <c r="G8" s="10" t="s">
        <v>288</v>
      </c>
      <c r="H8" s="10" t="s">
        <v>289</v>
      </c>
      <c r="I8" s="10" t="s">
        <v>290</v>
      </c>
      <c r="J8" s="10"/>
      <c r="K8" s="10" t="s">
        <v>291</v>
      </c>
      <c r="L8" s="10">
        <v>2007.0</v>
      </c>
      <c r="M8" s="10">
        <v>19.0</v>
      </c>
      <c r="N8" s="27"/>
      <c r="O8" s="10" t="s">
        <v>293</v>
      </c>
      <c r="P8" s="10" t="s">
        <v>231</v>
      </c>
      <c r="Q8" s="10" t="s">
        <v>295</v>
      </c>
      <c r="R8" s="10" t="s">
        <v>297</v>
      </c>
      <c r="S8" s="10" t="s">
        <v>298</v>
      </c>
      <c r="T8" s="10" t="s">
        <v>299</v>
      </c>
      <c r="U8" s="10" t="s">
        <v>300</v>
      </c>
      <c r="V8" s="30"/>
      <c r="W8" s="10" t="s">
        <v>46</v>
      </c>
      <c r="X8" s="10" t="s">
        <v>302</v>
      </c>
      <c r="Y8" s="10" t="s">
        <v>303</v>
      </c>
      <c r="Z8" s="10" t="s">
        <v>305</v>
      </c>
      <c r="AA8" s="10" t="s">
        <v>240</v>
      </c>
      <c r="AB8" s="32">
        <v>5.8406E8</v>
      </c>
      <c r="AC8" s="32" t="str">
        <f t="shared" si="2"/>
        <v>BOB</v>
      </c>
      <c r="AD8" s="32">
        <f>AB8/2318</f>
        <v>251967.2131</v>
      </c>
      <c r="AE8" s="10" t="s">
        <v>310</v>
      </c>
      <c r="AF8" s="10" t="s">
        <v>311</v>
      </c>
      <c r="AG8" s="10" t="s">
        <v>313</v>
      </c>
      <c r="AH8" s="33"/>
      <c r="AI8" s="33"/>
    </row>
    <row r="9">
      <c r="A9" s="8" t="s">
        <v>314</v>
      </c>
      <c r="B9" s="9" t="s">
        <v>316</v>
      </c>
      <c r="C9" s="10" t="s">
        <v>318</v>
      </c>
      <c r="D9" s="10" t="s">
        <v>319</v>
      </c>
      <c r="E9" s="11" t="s">
        <v>95</v>
      </c>
      <c r="F9" s="10"/>
      <c r="G9" s="10" t="s">
        <v>320</v>
      </c>
      <c r="H9" s="10" t="s">
        <v>321</v>
      </c>
      <c r="I9" s="10" t="s">
        <v>322</v>
      </c>
      <c r="J9" s="10"/>
      <c r="K9" s="10" t="s">
        <v>323</v>
      </c>
      <c r="L9" s="10">
        <v>2016.0</v>
      </c>
      <c r="M9" s="10">
        <f t="shared" ref="M9:M10" si="4">2026-L9</f>
        <v>10</v>
      </c>
      <c r="N9" s="27"/>
      <c r="O9" s="10" t="s">
        <v>324</v>
      </c>
      <c r="P9" s="10" t="s">
        <v>40</v>
      </c>
      <c r="Q9" s="10" t="s">
        <v>325</v>
      </c>
      <c r="R9" s="10" t="s">
        <v>326</v>
      </c>
      <c r="S9" s="10" t="s">
        <v>327</v>
      </c>
      <c r="T9" s="10" t="s">
        <v>328</v>
      </c>
      <c r="U9" s="10"/>
      <c r="V9" s="30"/>
      <c r="W9" s="10" t="s">
        <v>46</v>
      </c>
      <c r="X9" s="10" t="s">
        <v>329</v>
      </c>
      <c r="Y9" s="10"/>
      <c r="Z9" s="10" t="s">
        <v>330</v>
      </c>
      <c r="AA9" s="10" t="s">
        <v>331</v>
      </c>
      <c r="AB9" s="32">
        <v>3038747.33</v>
      </c>
      <c r="AC9" s="32" t="str">
        <f t="shared" si="2"/>
        <v>EUR</v>
      </c>
      <c r="AD9" s="32">
        <f>AB9/3939</f>
        <v>771.4514674</v>
      </c>
      <c r="AE9" s="10" t="s">
        <v>335</v>
      </c>
      <c r="AF9" s="10" t="s">
        <v>336</v>
      </c>
      <c r="AG9" s="10" t="s">
        <v>337</v>
      </c>
      <c r="AH9" s="33"/>
      <c r="AI9" s="33"/>
    </row>
    <row r="10">
      <c r="A10" s="10" t="s">
        <v>339</v>
      </c>
      <c r="B10" s="10" t="s">
        <v>341</v>
      </c>
      <c r="C10" s="10" t="s">
        <v>342</v>
      </c>
      <c r="D10" s="10" t="s">
        <v>343</v>
      </c>
      <c r="E10" s="11" t="s">
        <v>33</v>
      </c>
      <c r="F10" s="11"/>
      <c r="G10" s="10" t="s">
        <v>346</v>
      </c>
      <c r="H10" s="10" t="s">
        <v>347</v>
      </c>
      <c r="I10" s="10" t="s">
        <v>348</v>
      </c>
      <c r="J10" s="10"/>
      <c r="K10" s="10" t="s">
        <v>226</v>
      </c>
      <c r="L10" s="10">
        <v>2021.0</v>
      </c>
      <c r="M10" s="10">
        <f t="shared" si="4"/>
        <v>5</v>
      </c>
      <c r="N10" s="27"/>
      <c r="O10" s="10" t="s">
        <v>352</v>
      </c>
      <c r="P10" s="10" t="s">
        <v>353</v>
      </c>
      <c r="Q10" s="10" t="s">
        <v>355</v>
      </c>
      <c r="R10" s="10" t="s">
        <v>357</v>
      </c>
      <c r="S10" s="10" t="s">
        <v>358</v>
      </c>
      <c r="T10" s="10" t="s">
        <v>359</v>
      </c>
      <c r="U10" s="10" t="s">
        <v>236</v>
      </c>
      <c r="V10" s="30"/>
      <c r="W10" s="10" t="s">
        <v>46</v>
      </c>
      <c r="X10" s="10" t="s">
        <v>360</v>
      </c>
      <c r="Y10" s="10" t="s">
        <v>362</v>
      </c>
      <c r="Z10" s="10"/>
      <c r="AA10" s="10" t="s">
        <v>240</v>
      </c>
      <c r="AB10" s="32">
        <v>3500000.0</v>
      </c>
      <c r="AC10" s="32" t="str">
        <f t="shared" si="2"/>
        <v>BOB</v>
      </c>
      <c r="AD10" s="32">
        <f>AB10/1278</f>
        <v>2738.654147</v>
      </c>
      <c r="AE10" s="10" t="s">
        <v>367</v>
      </c>
      <c r="AF10" s="10" t="s">
        <v>368</v>
      </c>
      <c r="AG10" s="10" t="s">
        <v>369</v>
      </c>
      <c r="AH10" s="33"/>
      <c r="AI10" s="33"/>
    </row>
    <row r="11">
      <c r="A11" s="10" t="s">
        <v>370</v>
      </c>
      <c r="B11" s="10" t="s">
        <v>372</v>
      </c>
      <c r="C11" s="10" t="s">
        <v>373</v>
      </c>
      <c r="D11" s="10" t="s">
        <v>374</v>
      </c>
      <c r="E11" s="11" t="s">
        <v>179</v>
      </c>
      <c r="F11" s="10"/>
      <c r="G11" s="10" t="s">
        <v>377</v>
      </c>
      <c r="H11" s="10" t="s">
        <v>378</v>
      </c>
      <c r="I11" s="10" t="s">
        <v>379</v>
      </c>
      <c r="J11" s="10"/>
      <c r="K11" s="10" t="s">
        <v>226</v>
      </c>
      <c r="L11" s="10">
        <v>2017.0</v>
      </c>
      <c r="M11" s="10">
        <v>9.0</v>
      </c>
      <c r="N11" s="27"/>
      <c r="O11" s="10" t="s">
        <v>382</v>
      </c>
      <c r="P11" s="10" t="s">
        <v>231</v>
      </c>
      <c r="Q11" s="10" t="s">
        <v>384</v>
      </c>
      <c r="R11" s="10" t="s">
        <v>385</v>
      </c>
      <c r="S11" s="10" t="s">
        <v>386</v>
      </c>
      <c r="T11" s="10" t="s">
        <v>44</v>
      </c>
      <c r="U11" s="10" t="s">
        <v>388</v>
      </c>
      <c r="V11" s="30"/>
      <c r="W11" s="10" t="s">
        <v>46</v>
      </c>
      <c r="X11" s="10"/>
      <c r="Y11" s="10" t="s">
        <v>389</v>
      </c>
      <c r="Z11" s="10" t="s">
        <v>390</v>
      </c>
      <c r="AA11" s="10" t="s">
        <v>240</v>
      </c>
      <c r="AB11" s="32">
        <v>360082.0</v>
      </c>
      <c r="AC11" s="32" t="str">
        <f t="shared" si="2"/>
        <v>BOB</v>
      </c>
      <c r="AD11" s="32">
        <f>AB11/15111</f>
        <v>23.8291311</v>
      </c>
      <c r="AE11" s="10" t="s">
        <v>244</v>
      </c>
      <c r="AF11" s="10" t="s">
        <v>396</v>
      </c>
      <c r="AG11" s="10" t="s">
        <v>397</v>
      </c>
      <c r="AH11" s="33"/>
      <c r="AI11" s="33"/>
    </row>
    <row r="12">
      <c r="A12" s="10" t="s">
        <v>398</v>
      </c>
      <c r="B12" s="10" t="s">
        <v>400</v>
      </c>
      <c r="C12" s="10" t="s">
        <v>402</v>
      </c>
      <c r="D12" s="10" t="s">
        <v>403</v>
      </c>
      <c r="E12" s="11" t="s">
        <v>149</v>
      </c>
      <c r="F12" s="10"/>
      <c r="G12" s="10" t="s">
        <v>405</v>
      </c>
      <c r="H12" s="10" t="s">
        <v>407</v>
      </c>
      <c r="I12" s="10" t="s">
        <v>408</v>
      </c>
      <c r="J12" s="10"/>
      <c r="K12" s="10" t="s">
        <v>409</v>
      </c>
      <c r="L12" s="10">
        <v>2020.0</v>
      </c>
      <c r="M12" s="10">
        <v>6.0</v>
      </c>
      <c r="N12" s="27"/>
      <c r="O12" s="10" t="s">
        <v>411</v>
      </c>
      <c r="P12" s="10" t="s">
        <v>353</v>
      </c>
      <c r="Q12" s="10" t="s">
        <v>41</v>
      </c>
      <c r="R12" s="10" t="s">
        <v>413</v>
      </c>
      <c r="S12" s="10" t="s">
        <v>414</v>
      </c>
      <c r="T12" s="10" t="s">
        <v>415</v>
      </c>
      <c r="U12" s="10"/>
      <c r="V12" s="30"/>
      <c r="W12" s="10" t="s">
        <v>417</v>
      </c>
      <c r="X12" s="10" t="s">
        <v>419</v>
      </c>
      <c r="Y12" s="10"/>
      <c r="Z12" s="10" t="s">
        <v>421</v>
      </c>
      <c r="AA12" s="10" t="s">
        <v>49</v>
      </c>
      <c r="AB12" s="32">
        <v>8300000.0</v>
      </c>
      <c r="AC12" s="32" t="str">
        <f t="shared" si="2"/>
        <v>USD</v>
      </c>
      <c r="AD12" s="32">
        <f>AB12/25000</f>
        <v>332</v>
      </c>
      <c r="AE12" s="10" t="s">
        <v>428</v>
      </c>
      <c r="AF12" s="10" t="s">
        <v>411</v>
      </c>
      <c r="AG12" s="10" t="s">
        <v>430</v>
      </c>
      <c r="AH12" s="33"/>
      <c r="AI12" s="33"/>
    </row>
    <row r="13">
      <c r="A13" s="10" t="s">
        <v>431</v>
      </c>
      <c r="B13" s="10" t="s">
        <v>432</v>
      </c>
      <c r="C13" s="10" t="s">
        <v>434</v>
      </c>
      <c r="D13" s="10" t="s">
        <v>435</v>
      </c>
      <c r="E13" s="11" t="s">
        <v>149</v>
      </c>
      <c r="F13" s="11"/>
      <c r="G13" s="10" t="s">
        <v>438</v>
      </c>
      <c r="H13" s="10" t="s">
        <v>439</v>
      </c>
      <c r="I13" s="10" t="s">
        <v>441</v>
      </c>
      <c r="J13" s="10"/>
      <c r="K13" s="10" t="s">
        <v>442</v>
      </c>
      <c r="L13" s="10">
        <v>2023.0</v>
      </c>
      <c r="M13" s="10">
        <v>3.0</v>
      </c>
      <c r="N13" s="27"/>
      <c r="O13" s="10" t="s">
        <v>444</v>
      </c>
      <c r="P13" s="10" t="s">
        <v>353</v>
      </c>
      <c r="Q13" s="10" t="s">
        <v>446</v>
      </c>
      <c r="R13" s="10" t="s">
        <v>447</v>
      </c>
      <c r="S13" s="10" t="s">
        <v>448</v>
      </c>
      <c r="T13" s="10" t="s">
        <v>448</v>
      </c>
      <c r="U13" s="10"/>
      <c r="V13" s="30"/>
      <c r="W13" s="10" t="s">
        <v>451</v>
      </c>
      <c r="X13" s="10" t="s">
        <v>452</v>
      </c>
      <c r="Y13" s="10" t="s">
        <v>453</v>
      </c>
      <c r="Z13" s="10" t="s">
        <v>454</v>
      </c>
      <c r="AA13" s="10" t="s">
        <v>240</v>
      </c>
      <c r="AB13" s="32">
        <v>8.7594879966E8</v>
      </c>
      <c r="AC13" s="32" t="str">
        <f t="shared" si="2"/>
        <v>BOB</v>
      </c>
      <c r="AD13" s="32">
        <f>AB13/247865</f>
        <v>3533.975348</v>
      </c>
      <c r="AE13" s="10" t="s">
        <v>459</v>
      </c>
      <c r="AF13" s="10" t="s">
        <v>461</v>
      </c>
      <c r="AG13" s="10" t="s">
        <v>462</v>
      </c>
      <c r="AH13" s="33"/>
      <c r="AI13" s="33"/>
    </row>
    <row r="14">
      <c r="A14" s="10" t="s">
        <v>464</v>
      </c>
      <c r="B14" s="10" t="s">
        <v>465</v>
      </c>
      <c r="C14" s="10" t="s">
        <v>466</v>
      </c>
      <c r="D14" s="10" t="s">
        <v>467</v>
      </c>
      <c r="E14" s="11" t="s">
        <v>33</v>
      </c>
      <c r="F14" s="10"/>
      <c r="G14" s="10" t="s">
        <v>379</v>
      </c>
      <c r="H14" s="10" t="s">
        <v>471</v>
      </c>
      <c r="I14" s="10" t="s">
        <v>473</v>
      </c>
      <c r="J14" s="10"/>
      <c r="K14" s="10"/>
      <c r="L14" s="10"/>
      <c r="M14" s="10"/>
      <c r="N14" s="27"/>
      <c r="O14" s="10"/>
      <c r="P14" s="10"/>
      <c r="Q14" s="10"/>
      <c r="R14" s="10"/>
      <c r="S14" s="10"/>
      <c r="T14" s="10"/>
      <c r="U14" s="10"/>
      <c r="V14" s="30"/>
      <c r="W14" s="10"/>
      <c r="X14" s="10"/>
      <c r="Y14" s="10"/>
      <c r="Z14" s="10"/>
      <c r="AA14" s="10"/>
      <c r="AB14" s="32"/>
      <c r="AC14" s="32"/>
      <c r="AD14" s="32"/>
      <c r="AE14" s="10"/>
      <c r="AF14" s="10"/>
      <c r="AG14" s="10"/>
      <c r="AH14" s="33"/>
      <c r="AI14" s="33"/>
    </row>
    <row r="15">
      <c r="A15" s="10" t="s">
        <v>478</v>
      </c>
      <c r="B15" s="10" t="s">
        <v>480</v>
      </c>
      <c r="C15" s="10" t="s">
        <v>481</v>
      </c>
      <c r="D15" s="10" t="s">
        <v>482</v>
      </c>
      <c r="E15" s="11" t="s">
        <v>95</v>
      </c>
      <c r="F15" s="10"/>
      <c r="G15" s="10" t="s">
        <v>484</v>
      </c>
      <c r="H15" s="10" t="s">
        <v>485</v>
      </c>
      <c r="I15" s="10" t="s">
        <v>486</v>
      </c>
      <c r="J15" s="10"/>
      <c r="K15" s="10" t="s">
        <v>488</v>
      </c>
      <c r="L15" s="10">
        <v>2020.0</v>
      </c>
      <c r="M15" s="10">
        <v>6.0</v>
      </c>
      <c r="N15" s="27"/>
      <c r="O15" s="10" t="s">
        <v>490</v>
      </c>
      <c r="P15" s="10" t="s">
        <v>353</v>
      </c>
      <c r="Q15" s="10" t="s">
        <v>492</v>
      </c>
      <c r="R15" s="10" t="s">
        <v>493</v>
      </c>
      <c r="S15" s="10" t="s">
        <v>495</v>
      </c>
      <c r="T15" s="10" t="s">
        <v>496</v>
      </c>
      <c r="U15" s="10" t="s">
        <v>497</v>
      </c>
      <c r="V15" s="30"/>
      <c r="W15" s="10" t="s">
        <v>499</v>
      </c>
      <c r="X15" s="10" t="s">
        <v>302</v>
      </c>
      <c r="Y15" s="10"/>
      <c r="Z15" s="10" t="s">
        <v>501</v>
      </c>
      <c r="AA15" s="10" t="s">
        <v>240</v>
      </c>
      <c r="AB15" s="32">
        <v>2.393364E9</v>
      </c>
      <c r="AC15" s="32" t="str">
        <f t="shared" ref="AC15:AC16" si="5">AA15</f>
        <v>BOB</v>
      </c>
      <c r="AD15" s="32">
        <f>AB15/6145</f>
        <v>389481.5297</v>
      </c>
      <c r="AE15" s="10" t="s">
        <v>508</v>
      </c>
      <c r="AF15" s="10" t="s">
        <v>509</v>
      </c>
      <c r="AG15" s="10" t="s">
        <v>510</v>
      </c>
      <c r="AH15" s="33"/>
      <c r="AI15" s="33"/>
    </row>
    <row r="16">
      <c r="A16" s="10" t="s">
        <v>511</v>
      </c>
      <c r="B16" s="10" t="s">
        <v>512</v>
      </c>
      <c r="C16" s="10" t="s">
        <v>514</v>
      </c>
      <c r="D16" s="10" t="s">
        <v>515</v>
      </c>
      <c r="E16" s="11" t="s">
        <v>95</v>
      </c>
      <c r="F16" s="10"/>
      <c r="G16" s="10" t="s">
        <v>518</v>
      </c>
      <c r="H16" s="10" t="s">
        <v>519</v>
      </c>
      <c r="I16" s="10" t="s">
        <v>520</v>
      </c>
      <c r="J16" s="10"/>
      <c r="K16" s="10" t="s">
        <v>524</v>
      </c>
      <c r="L16" s="10">
        <v>2017.0</v>
      </c>
      <c r="M16" s="10">
        <f>2026-L16</f>
        <v>9</v>
      </c>
      <c r="N16" s="27"/>
      <c r="O16" s="10" t="s">
        <v>111</v>
      </c>
      <c r="P16" s="10" t="s">
        <v>231</v>
      </c>
      <c r="Q16" s="10" t="s">
        <v>113</v>
      </c>
      <c r="R16" s="10" t="s">
        <v>530</v>
      </c>
      <c r="S16" s="10" t="s">
        <v>531</v>
      </c>
      <c r="T16" s="10" t="s">
        <v>532</v>
      </c>
      <c r="U16" s="10" t="s">
        <v>533</v>
      </c>
      <c r="V16" s="30"/>
      <c r="W16" s="10" t="s">
        <v>46</v>
      </c>
      <c r="X16" s="10" t="s">
        <v>534</v>
      </c>
      <c r="Y16" s="10" t="s">
        <v>535</v>
      </c>
      <c r="Z16" s="10" t="s">
        <v>537</v>
      </c>
      <c r="AA16" s="10" t="s">
        <v>240</v>
      </c>
      <c r="AB16" s="32">
        <v>7.85224246E8</v>
      </c>
      <c r="AC16" s="32" t="str">
        <f t="shared" si="5"/>
        <v>BOB</v>
      </c>
      <c r="AD16" s="32">
        <f>AB16/3462</f>
        <v>226812.3183</v>
      </c>
      <c r="AE16" s="10" t="s">
        <v>542</v>
      </c>
      <c r="AF16" s="10" t="s">
        <v>543</v>
      </c>
      <c r="AG16" s="10" t="s">
        <v>545</v>
      </c>
      <c r="AH16" s="33"/>
      <c r="AI16" s="33"/>
    </row>
    <row r="17">
      <c r="A17" s="10" t="s">
        <v>546</v>
      </c>
      <c r="B17" s="10" t="s">
        <v>547</v>
      </c>
      <c r="C17" s="10" t="s">
        <v>549</v>
      </c>
      <c r="D17" s="10" t="s">
        <v>550</v>
      </c>
      <c r="E17" s="11" t="s">
        <v>178</v>
      </c>
      <c r="F17" s="10"/>
      <c r="G17" s="10" t="s">
        <v>552</v>
      </c>
      <c r="H17" s="10" t="s">
        <v>554</v>
      </c>
      <c r="I17" s="10"/>
      <c r="J17" s="10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30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</row>
    <row r="18">
      <c r="A18" s="10" t="s">
        <v>559</v>
      </c>
      <c r="B18" s="10" t="s">
        <v>560</v>
      </c>
      <c r="C18" s="10" t="s">
        <v>562</v>
      </c>
      <c r="D18" s="10" t="s">
        <v>563</v>
      </c>
      <c r="E18" s="11" t="s">
        <v>232</v>
      </c>
      <c r="F18" s="10"/>
      <c r="G18" s="10" t="s">
        <v>565</v>
      </c>
      <c r="H18" s="10" t="s">
        <v>567</v>
      </c>
      <c r="I18" s="10"/>
      <c r="J18" s="10"/>
      <c r="K18" s="10" t="s">
        <v>568</v>
      </c>
      <c r="L18" s="10">
        <v>2025.0</v>
      </c>
      <c r="M18" s="10">
        <v>1.0</v>
      </c>
      <c r="N18" s="27"/>
      <c r="O18" s="10" t="s">
        <v>571</v>
      </c>
      <c r="P18" s="10" t="s">
        <v>353</v>
      </c>
      <c r="Q18" s="10" t="s">
        <v>573</v>
      </c>
      <c r="R18" s="10" t="s">
        <v>575</v>
      </c>
      <c r="S18" s="10" t="s">
        <v>576</v>
      </c>
      <c r="T18" s="10" t="s">
        <v>578</v>
      </c>
      <c r="U18" s="10" t="s">
        <v>580</v>
      </c>
      <c r="V18" s="30"/>
      <c r="W18" s="10" t="s">
        <v>581</v>
      </c>
      <c r="X18" s="10" t="s">
        <v>582</v>
      </c>
      <c r="Y18" s="10"/>
      <c r="Z18" s="10"/>
      <c r="AA18" s="10" t="s">
        <v>240</v>
      </c>
      <c r="AB18" s="32">
        <v>945954.0</v>
      </c>
      <c r="AC18" s="32" t="str">
        <f t="shared" ref="AC18:AC22" si="6">AA18</f>
        <v>BOB</v>
      </c>
      <c r="AD18" s="32">
        <v>5000.0</v>
      </c>
      <c r="AE18" s="10" t="s">
        <v>589</v>
      </c>
      <c r="AF18" s="10" t="s">
        <v>590</v>
      </c>
      <c r="AG18" s="10" t="s">
        <v>592</v>
      </c>
      <c r="AH18" s="33"/>
      <c r="AI18" s="33"/>
    </row>
    <row r="19">
      <c r="A19" s="10" t="s">
        <v>593</v>
      </c>
      <c r="B19" s="10" t="s">
        <v>560</v>
      </c>
      <c r="C19" s="10" t="s">
        <v>594</v>
      </c>
      <c r="D19" s="10" t="s">
        <v>596</v>
      </c>
      <c r="E19" s="11" t="s">
        <v>95</v>
      </c>
      <c r="F19" s="10"/>
      <c r="G19" s="10" t="s">
        <v>599</v>
      </c>
      <c r="H19" s="10" t="s">
        <v>600</v>
      </c>
      <c r="I19" s="10"/>
      <c r="J19" s="10"/>
      <c r="K19" s="10" t="s">
        <v>603</v>
      </c>
      <c r="L19" s="10">
        <v>2022.0</v>
      </c>
      <c r="M19" s="10">
        <v>4.0</v>
      </c>
      <c r="N19" s="27"/>
      <c r="O19" s="10" t="s">
        <v>111</v>
      </c>
      <c r="P19" s="10" t="s">
        <v>231</v>
      </c>
      <c r="Q19" s="10" t="s">
        <v>113</v>
      </c>
      <c r="R19" s="10" t="s">
        <v>606</v>
      </c>
      <c r="S19" s="10" t="s">
        <v>607</v>
      </c>
      <c r="T19" s="10" t="s">
        <v>609</v>
      </c>
      <c r="U19" s="10" t="s">
        <v>388</v>
      </c>
      <c r="V19" s="30"/>
      <c r="W19" s="10" t="s">
        <v>46</v>
      </c>
      <c r="X19" s="10"/>
      <c r="Y19" s="10"/>
      <c r="Z19" s="10"/>
      <c r="AA19" s="10" t="s">
        <v>49</v>
      </c>
      <c r="AB19" s="32">
        <v>3.5E7</v>
      </c>
      <c r="AC19" s="32" t="str">
        <f t="shared" si="6"/>
        <v>USD</v>
      </c>
      <c r="AD19" s="32"/>
      <c r="AE19" s="10" t="s">
        <v>615</v>
      </c>
      <c r="AF19" s="10" t="s">
        <v>617</v>
      </c>
      <c r="AG19" s="10" t="s">
        <v>619</v>
      </c>
      <c r="AH19" s="33"/>
      <c r="AI19" s="33"/>
    </row>
    <row r="20">
      <c r="A20" s="10" t="s">
        <v>620</v>
      </c>
      <c r="B20" s="10" t="s">
        <v>621</v>
      </c>
      <c r="C20" s="10" t="s">
        <v>623</v>
      </c>
      <c r="D20" s="27"/>
      <c r="E20" s="11" t="s">
        <v>232</v>
      </c>
      <c r="F20" s="10"/>
      <c r="G20" s="10" t="s">
        <v>628</v>
      </c>
      <c r="H20" s="10" t="s">
        <v>630</v>
      </c>
      <c r="I20" s="10"/>
      <c r="J20" s="10"/>
      <c r="K20" s="10" t="s">
        <v>631</v>
      </c>
      <c r="L20" s="10">
        <v>2024.0</v>
      </c>
      <c r="M20" s="10">
        <f t="shared" ref="M20:M22" si="7">2026-L20</f>
        <v>2</v>
      </c>
      <c r="N20" s="27"/>
      <c r="O20" s="10" t="s">
        <v>635</v>
      </c>
      <c r="P20" s="10" t="s">
        <v>353</v>
      </c>
      <c r="Q20" s="10" t="s">
        <v>41</v>
      </c>
      <c r="R20" s="10" t="s">
        <v>636</v>
      </c>
      <c r="S20" s="10" t="s">
        <v>637</v>
      </c>
      <c r="T20" s="10" t="s">
        <v>359</v>
      </c>
      <c r="U20" s="10"/>
      <c r="V20" s="30"/>
      <c r="W20" s="10" t="s">
        <v>638</v>
      </c>
      <c r="X20" s="10"/>
      <c r="Y20" s="10" t="s">
        <v>639</v>
      </c>
      <c r="Z20" s="10"/>
      <c r="AA20" s="10" t="s">
        <v>331</v>
      </c>
      <c r="AB20" s="32">
        <v>374920.3</v>
      </c>
      <c r="AC20" s="32" t="str">
        <f t="shared" si="6"/>
        <v>EUR</v>
      </c>
      <c r="AD20" s="32">
        <f>AB20/200</f>
        <v>1874.6015</v>
      </c>
      <c r="AE20" s="10" t="s">
        <v>335</v>
      </c>
      <c r="AF20" s="10" t="s">
        <v>640</v>
      </c>
      <c r="AG20" s="10"/>
      <c r="AH20" s="33"/>
      <c r="AI20" s="33"/>
    </row>
    <row r="21">
      <c r="A21" s="10" t="s">
        <v>641</v>
      </c>
      <c r="B21" s="10" t="s">
        <v>642</v>
      </c>
      <c r="C21" s="10" t="s">
        <v>643</v>
      </c>
      <c r="D21" s="27"/>
      <c r="E21" s="11" t="s">
        <v>179</v>
      </c>
      <c r="F21" s="10"/>
      <c r="G21" s="10" t="s">
        <v>644</v>
      </c>
      <c r="H21" s="10" t="s">
        <v>645</v>
      </c>
      <c r="I21" s="10"/>
      <c r="J21" s="10"/>
      <c r="K21" s="10" t="s">
        <v>646</v>
      </c>
      <c r="L21" s="10">
        <v>2024.0</v>
      </c>
      <c r="M21" s="10">
        <f t="shared" si="7"/>
        <v>2</v>
      </c>
      <c r="N21" s="27"/>
      <c r="O21" s="10" t="s">
        <v>647</v>
      </c>
      <c r="P21" s="10" t="s">
        <v>353</v>
      </c>
      <c r="Q21" s="10" t="s">
        <v>648</v>
      </c>
      <c r="R21" s="10" t="s">
        <v>649</v>
      </c>
      <c r="S21" s="10" t="s">
        <v>650</v>
      </c>
      <c r="T21" s="10" t="s">
        <v>609</v>
      </c>
      <c r="U21" s="10"/>
      <c r="V21" s="30"/>
      <c r="W21" s="10" t="s">
        <v>638</v>
      </c>
      <c r="X21" s="10" t="s">
        <v>651</v>
      </c>
      <c r="Y21" s="10" t="s">
        <v>652</v>
      </c>
      <c r="Z21" s="10"/>
      <c r="AA21" s="52" t="s">
        <v>331</v>
      </c>
      <c r="AB21" s="32">
        <v>375000.0</v>
      </c>
      <c r="AC21" s="32" t="str">
        <f t="shared" si="6"/>
        <v>EUR</v>
      </c>
      <c r="AD21" s="32">
        <f>AB21/150</f>
        <v>2500</v>
      </c>
      <c r="AE21" s="10" t="s">
        <v>335</v>
      </c>
      <c r="AF21" s="10" t="s">
        <v>653</v>
      </c>
      <c r="AG21" s="10"/>
      <c r="AH21" s="33"/>
      <c r="AI21" s="33"/>
    </row>
    <row r="22">
      <c r="A22" s="10" t="s">
        <v>654</v>
      </c>
      <c r="B22" s="10" t="s">
        <v>655</v>
      </c>
      <c r="C22" s="10" t="s">
        <v>656</v>
      </c>
      <c r="D22" s="27"/>
      <c r="E22" s="11" t="s">
        <v>232</v>
      </c>
      <c r="F22" s="10"/>
      <c r="G22" s="10" t="s">
        <v>657</v>
      </c>
      <c r="H22" s="10" t="s">
        <v>658</v>
      </c>
      <c r="I22" s="10" t="s">
        <v>659</v>
      </c>
      <c r="J22" s="10"/>
      <c r="K22" s="10" t="s">
        <v>660</v>
      </c>
      <c r="L22" s="10">
        <v>2024.0</v>
      </c>
      <c r="M22" s="10">
        <f t="shared" si="7"/>
        <v>2</v>
      </c>
      <c r="N22" s="27"/>
      <c r="O22" s="10" t="s">
        <v>661</v>
      </c>
      <c r="P22" s="10" t="s">
        <v>353</v>
      </c>
      <c r="Q22" s="10" t="s">
        <v>662</v>
      </c>
      <c r="R22" s="10" t="s">
        <v>663</v>
      </c>
      <c r="S22" s="10" t="s">
        <v>664</v>
      </c>
      <c r="T22" s="10" t="s">
        <v>665</v>
      </c>
      <c r="U22" s="10"/>
      <c r="V22" s="30"/>
      <c r="W22" s="10" t="s">
        <v>666</v>
      </c>
      <c r="X22" s="10"/>
      <c r="Y22" s="10" t="s">
        <v>667</v>
      </c>
      <c r="Z22" s="10"/>
      <c r="AA22" s="52" t="s">
        <v>331</v>
      </c>
      <c r="AB22" s="32">
        <v>375000.0</v>
      </c>
      <c r="AC22" s="32" t="str">
        <f t="shared" si="6"/>
        <v>EUR</v>
      </c>
      <c r="AD22" s="32">
        <f>AB22/378</f>
        <v>992.0634921</v>
      </c>
      <c r="AE22" s="10" t="s">
        <v>335</v>
      </c>
      <c r="AF22" s="10" t="s">
        <v>668</v>
      </c>
      <c r="AG22" s="10"/>
      <c r="AH22" s="33"/>
      <c r="AI22" s="33"/>
    </row>
    <row r="23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</row>
    <row r="24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</row>
    <row r="25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</row>
    <row r="26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</row>
    <row r="27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</row>
    <row r="28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</row>
    <row r="29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</row>
    <row r="30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</row>
    <row r="31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</row>
    <row r="32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</row>
    <row r="33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</row>
    <row r="34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</row>
    <row r="35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</row>
    <row r="36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</row>
    <row r="37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</row>
    <row r="38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</row>
    <row r="39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</row>
    <row r="40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</row>
    <row r="4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</row>
    <row r="42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</row>
    <row r="43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</row>
    <row r="44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</row>
    <row r="45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</row>
    <row r="46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</row>
    <row r="47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</row>
    <row r="48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</row>
    <row r="49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</row>
    <row r="5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</row>
    <row r="5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</row>
    <row r="52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</row>
    <row r="53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</row>
    <row r="54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</row>
    <row r="55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</row>
    <row r="56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</row>
    <row r="57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</row>
    <row r="58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</row>
    <row r="59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</row>
    <row r="6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</row>
    <row r="6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</row>
    <row r="62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</row>
    <row r="63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</row>
    <row r="64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</row>
    <row r="65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</row>
    <row r="66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</row>
    <row r="67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</row>
    <row r="68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</row>
    <row r="69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</row>
    <row r="7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</row>
    <row r="7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</row>
    <row r="72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</row>
    <row r="73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</row>
    <row r="74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</row>
    <row r="75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</row>
    <row r="76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</row>
    <row r="77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</row>
    <row r="78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</row>
    <row r="79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</row>
    <row r="8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</row>
    <row r="8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</row>
    <row r="82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</row>
    <row r="83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</row>
    <row r="84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</row>
    <row r="85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</row>
    <row r="86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</row>
    <row r="87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</row>
    <row r="88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</row>
    <row r="89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</row>
    <row r="9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</row>
    <row r="9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</row>
    <row r="92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</row>
    <row r="93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</row>
    <row r="94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</row>
    <row r="95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</row>
    <row r="96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</row>
    <row r="97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</row>
    <row r="98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</row>
    <row r="99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</row>
    <row r="10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</row>
    <row r="10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</row>
    <row r="102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</row>
    <row r="103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</row>
    <row r="104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</row>
    <row r="105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</row>
    <row r="106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</row>
    <row r="107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</row>
    <row r="108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</row>
    <row r="109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</row>
    <row r="11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</row>
    <row r="11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</row>
    <row r="112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</row>
    <row r="113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</row>
    <row r="114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</row>
    <row r="115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</row>
    <row r="116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</row>
    <row r="117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</row>
    <row r="118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</row>
    <row r="119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</row>
    <row r="12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</row>
    <row r="12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</row>
    <row r="122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</row>
    <row r="123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</row>
    <row r="124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</row>
    <row r="125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</row>
    <row r="126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</row>
    <row r="127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</row>
    <row r="128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</row>
    <row r="129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</row>
    <row r="1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</row>
    <row r="13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</row>
    <row r="132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</row>
    <row r="133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</row>
    <row r="134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</row>
    <row r="135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</row>
    <row r="136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</row>
    <row r="137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</row>
    <row r="138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</row>
    <row r="139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</row>
    <row r="140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</row>
    <row r="14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</row>
    <row r="142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</row>
    <row r="143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</row>
    <row r="144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</row>
    <row r="145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</row>
    <row r="146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</row>
    <row r="147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</row>
    <row r="148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</row>
    <row r="149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</row>
    <row r="150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</row>
    <row r="15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</row>
    <row r="152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</row>
    <row r="153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</row>
    <row r="154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</row>
    <row r="155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</row>
    <row r="156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</row>
    <row r="157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</row>
    <row r="158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</row>
    <row r="159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</row>
    <row r="160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</row>
    <row r="16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</row>
    <row r="162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</row>
    <row r="163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</row>
    <row r="164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</row>
    <row r="165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</row>
    <row r="166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</row>
    <row r="167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</row>
    <row r="168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</row>
    <row r="169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</row>
    <row r="170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</row>
    <row r="17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</row>
    <row r="172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</row>
    <row r="173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</row>
    <row r="174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</row>
    <row r="175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</row>
    <row r="176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</row>
    <row r="177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</row>
    <row r="178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</row>
    <row r="179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</row>
    <row r="180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</row>
    <row r="18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</row>
    <row r="182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</row>
    <row r="183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</row>
    <row r="184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</row>
    <row r="185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</row>
    <row r="186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</row>
    <row r="187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</row>
    <row r="188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</row>
    <row r="189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</row>
    <row r="190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</row>
    <row r="19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</row>
    <row r="192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</row>
    <row r="193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</row>
    <row r="194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</row>
    <row r="195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</row>
    <row r="196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</row>
    <row r="197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</row>
    <row r="198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</row>
    <row r="199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</row>
    <row r="200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</row>
    <row r="20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</row>
    <row r="202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</row>
    <row r="203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</row>
    <row r="204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</row>
    <row r="205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</row>
    <row r="206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</row>
    <row r="207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</row>
    <row r="208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</row>
    <row r="209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</row>
    <row r="210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</row>
    <row r="21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</row>
    <row r="212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</row>
    <row r="213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</row>
    <row r="214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</row>
    <row r="215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</row>
    <row r="216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</row>
    <row r="217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</row>
    <row r="218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</row>
    <row r="219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</row>
    <row r="220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</row>
    <row r="22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</row>
    <row r="222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</row>
    <row r="223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</row>
    <row r="224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</row>
    <row r="225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</row>
    <row r="226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</row>
    <row r="227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</row>
    <row r="228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</row>
    <row r="229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</row>
    <row r="230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</row>
    <row r="23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</row>
    <row r="232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</row>
    <row r="233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</row>
    <row r="234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</row>
    <row r="235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</row>
    <row r="236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</row>
    <row r="237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</row>
    <row r="238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</row>
    <row r="239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</row>
    <row r="240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</row>
    <row r="24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</row>
    <row r="242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</row>
    <row r="243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</row>
    <row r="244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</row>
    <row r="245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</row>
    <row r="246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</row>
    <row r="247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</row>
    <row r="248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</row>
    <row r="249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</row>
    <row r="250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</row>
    <row r="25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</row>
    <row r="252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</row>
    <row r="253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</row>
    <row r="254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</row>
    <row r="255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</row>
    <row r="256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</row>
    <row r="257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</row>
    <row r="258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</row>
    <row r="259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</row>
    <row r="260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</row>
    <row r="26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</row>
    <row r="262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</row>
    <row r="263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</row>
    <row r="264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</row>
    <row r="265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</row>
    <row r="266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</row>
    <row r="267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</row>
    <row r="268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</row>
    <row r="269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</row>
    <row r="270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</row>
    <row r="27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</row>
    <row r="272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</row>
    <row r="273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</row>
    <row r="274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</row>
    <row r="275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</row>
    <row r="276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</row>
    <row r="277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</row>
    <row r="278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</row>
    <row r="279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</row>
    <row r="280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</row>
    <row r="28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</row>
    <row r="282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</row>
    <row r="283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</row>
    <row r="284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</row>
    <row r="285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</row>
    <row r="286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  <c r="AI286" s="53"/>
    </row>
    <row r="287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</row>
    <row r="288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</row>
    <row r="289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</row>
    <row r="290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</row>
    <row r="29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</row>
    <row r="292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</row>
    <row r="293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</row>
    <row r="294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</row>
    <row r="295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</row>
    <row r="296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</row>
    <row r="297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</row>
    <row r="298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</row>
    <row r="299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</row>
    <row r="300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</row>
    <row r="30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</row>
    <row r="302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</row>
    <row r="303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</row>
    <row r="304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</row>
    <row r="305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</row>
    <row r="306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</row>
    <row r="307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</row>
    <row r="308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</row>
    <row r="309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</row>
    <row r="310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</row>
    <row r="31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</row>
    <row r="312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</row>
    <row r="313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</row>
    <row r="314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</row>
    <row r="315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</row>
    <row r="316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</row>
    <row r="317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</row>
    <row r="318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</row>
    <row r="319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</row>
    <row r="320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</row>
    <row r="32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</row>
    <row r="322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</row>
    <row r="323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</row>
    <row r="324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</row>
    <row r="325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</row>
    <row r="326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</row>
    <row r="327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</row>
    <row r="328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</row>
    <row r="329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</row>
    <row r="330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</row>
    <row r="33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</row>
    <row r="332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  <c r="AI332" s="53"/>
    </row>
    <row r="333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</row>
    <row r="334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</row>
    <row r="335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</row>
    <row r="336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</row>
    <row r="337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</row>
    <row r="338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  <c r="AI338" s="53"/>
    </row>
    <row r="339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</row>
    <row r="340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  <c r="AI340" s="53"/>
    </row>
    <row r="34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</row>
    <row r="342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  <c r="AI342" s="53"/>
    </row>
    <row r="343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</row>
    <row r="344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  <c r="AI344" s="53"/>
    </row>
    <row r="345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</row>
    <row r="346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  <c r="AI346" s="53"/>
    </row>
    <row r="347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</row>
    <row r="348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  <c r="AI348" s="53"/>
    </row>
    <row r="349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</row>
    <row r="350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</row>
    <row r="35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</row>
    <row r="352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</row>
    <row r="353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</row>
    <row r="354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  <c r="AI354" s="53"/>
    </row>
    <row r="355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</row>
    <row r="356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3"/>
    </row>
    <row r="357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</row>
    <row r="358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</row>
    <row r="359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</row>
    <row r="360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  <c r="AI360" s="53"/>
    </row>
    <row r="36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</row>
    <row r="362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</row>
    <row r="363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</row>
    <row r="364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</row>
    <row r="365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</row>
    <row r="366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  <c r="AI366" s="53"/>
    </row>
    <row r="367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</row>
    <row r="368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</row>
    <row r="369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</row>
    <row r="370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</row>
    <row r="37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</row>
    <row r="372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</row>
    <row r="373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</row>
    <row r="374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</row>
    <row r="375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</row>
    <row r="376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  <c r="AI376" s="53"/>
    </row>
    <row r="377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</row>
    <row r="378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</row>
    <row r="379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</row>
    <row r="380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</row>
    <row r="38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</row>
    <row r="382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</row>
    <row r="383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</row>
    <row r="384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  <c r="AI384" s="53"/>
    </row>
    <row r="385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</row>
    <row r="386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</row>
    <row r="387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</row>
    <row r="388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</row>
    <row r="389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</row>
    <row r="390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</row>
    <row r="39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</row>
    <row r="392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</row>
    <row r="393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</row>
    <row r="394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</row>
    <row r="395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</row>
    <row r="396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</row>
    <row r="397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</row>
    <row r="398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</row>
    <row r="399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</row>
    <row r="400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</row>
    <row r="40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</row>
    <row r="402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</row>
    <row r="403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</row>
    <row r="404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</row>
    <row r="405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</row>
    <row r="406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</row>
    <row r="407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</row>
    <row r="408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</row>
    <row r="409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</row>
    <row r="410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</row>
    <row r="41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</row>
    <row r="412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</row>
    <row r="413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</row>
    <row r="414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</row>
    <row r="415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</row>
    <row r="416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</row>
    <row r="417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</row>
    <row r="418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</row>
    <row r="419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</row>
    <row r="420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</row>
    <row r="42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</row>
    <row r="422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</row>
    <row r="423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</row>
    <row r="424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</row>
    <row r="425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</row>
    <row r="426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</row>
    <row r="427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</row>
    <row r="428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</row>
    <row r="429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</row>
    <row r="430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</row>
    <row r="43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</row>
    <row r="432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</row>
    <row r="433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</row>
    <row r="434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</row>
    <row r="435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</row>
    <row r="436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</row>
    <row r="437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</row>
    <row r="438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</row>
    <row r="439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</row>
    <row r="440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</row>
    <row r="44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</row>
    <row r="442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</row>
    <row r="443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</row>
    <row r="444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</row>
    <row r="445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</row>
    <row r="446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</row>
    <row r="447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</row>
    <row r="448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</row>
    <row r="449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</row>
    <row r="450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</row>
    <row r="45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</row>
    <row r="452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</row>
    <row r="453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</row>
    <row r="454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</row>
    <row r="455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</row>
    <row r="456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</row>
    <row r="457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</row>
    <row r="458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</row>
    <row r="459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</row>
    <row r="460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</row>
    <row r="46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</row>
    <row r="462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</row>
    <row r="463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</row>
    <row r="464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</row>
    <row r="465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</row>
    <row r="466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</row>
    <row r="467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</row>
    <row r="468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</row>
    <row r="469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</row>
    <row r="470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</row>
    <row r="47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</row>
    <row r="472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</row>
    <row r="473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</row>
    <row r="474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</row>
    <row r="475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</row>
    <row r="476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</row>
    <row r="477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</row>
    <row r="478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</row>
    <row r="479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</row>
    <row r="480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</row>
    <row r="48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</row>
    <row r="482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</row>
    <row r="483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</row>
    <row r="484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</row>
    <row r="485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</row>
    <row r="486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</row>
    <row r="487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</row>
    <row r="488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</row>
    <row r="489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</row>
    <row r="490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</row>
    <row r="49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</row>
    <row r="492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</row>
    <row r="493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</row>
    <row r="494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</row>
    <row r="495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</row>
    <row r="496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</row>
    <row r="497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</row>
    <row r="498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</row>
    <row r="499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</row>
    <row r="500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</row>
    <row r="50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</row>
    <row r="502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</row>
    <row r="503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</row>
    <row r="504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</row>
    <row r="505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</row>
    <row r="506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</row>
    <row r="507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</row>
    <row r="508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</row>
    <row r="509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</row>
    <row r="510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</row>
    <row r="51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</row>
    <row r="512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</row>
    <row r="513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</row>
    <row r="514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</row>
    <row r="515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</row>
    <row r="516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</row>
    <row r="517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</row>
    <row r="518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</row>
    <row r="519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</row>
    <row r="520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</row>
    <row r="52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</row>
    <row r="522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</row>
    <row r="523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</row>
    <row r="524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</row>
    <row r="525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</row>
    <row r="526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</row>
    <row r="527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</row>
    <row r="528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</row>
    <row r="529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</row>
    <row r="530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</row>
    <row r="53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</row>
    <row r="532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</row>
    <row r="533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</row>
    <row r="534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</row>
    <row r="535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</row>
    <row r="536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</row>
    <row r="537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</row>
    <row r="538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</row>
    <row r="539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</row>
    <row r="540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</row>
    <row r="54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</row>
    <row r="542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</row>
    <row r="543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</row>
    <row r="544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</row>
    <row r="545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</row>
    <row r="546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</row>
    <row r="547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</row>
    <row r="548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</row>
    <row r="549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</row>
    <row r="550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</row>
    <row r="55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</row>
    <row r="552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</row>
    <row r="553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</row>
    <row r="554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</row>
    <row r="555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</row>
    <row r="556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</row>
    <row r="557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</row>
    <row r="558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</row>
    <row r="559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</row>
    <row r="560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</row>
    <row r="56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</row>
    <row r="562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</row>
    <row r="563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</row>
    <row r="564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</row>
    <row r="565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</row>
    <row r="566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</row>
    <row r="567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</row>
    <row r="568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</row>
    <row r="569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</row>
    <row r="570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</row>
    <row r="57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</row>
    <row r="572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</row>
    <row r="573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</row>
    <row r="574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</row>
    <row r="575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</row>
    <row r="576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</row>
    <row r="577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</row>
    <row r="578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</row>
    <row r="579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</row>
    <row r="580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</row>
    <row r="58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</row>
    <row r="582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3"/>
    </row>
    <row r="583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  <c r="AI583" s="53"/>
    </row>
    <row r="584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  <c r="AI584" s="53"/>
    </row>
    <row r="585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</row>
    <row r="586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</row>
    <row r="587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</row>
    <row r="588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</row>
    <row r="589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</row>
    <row r="590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</row>
    <row r="59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</row>
    <row r="592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</row>
    <row r="593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</row>
    <row r="594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</row>
    <row r="595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</row>
    <row r="596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</row>
    <row r="597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</row>
    <row r="598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</row>
    <row r="599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</row>
    <row r="600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</row>
    <row r="60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</row>
    <row r="602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</row>
    <row r="603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</row>
    <row r="604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</row>
    <row r="605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</row>
    <row r="606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</row>
    <row r="607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</row>
    <row r="608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</row>
    <row r="609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</row>
    <row r="610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</row>
    <row r="61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</row>
    <row r="612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</row>
    <row r="613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</row>
    <row r="614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</row>
    <row r="615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</row>
    <row r="616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3"/>
    </row>
    <row r="617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  <c r="AI617" s="53"/>
    </row>
    <row r="618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</row>
    <row r="619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</row>
    <row r="620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</row>
    <row r="62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</row>
    <row r="622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</row>
    <row r="623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</row>
    <row r="624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</row>
    <row r="625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</row>
    <row r="626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</row>
    <row r="627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3"/>
    </row>
    <row r="628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3"/>
    </row>
    <row r="629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3"/>
    </row>
    <row r="630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</row>
    <row r="63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</row>
    <row r="632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</row>
    <row r="633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</row>
    <row r="634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3"/>
    </row>
    <row r="635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</row>
    <row r="636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</row>
    <row r="637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3"/>
    </row>
    <row r="638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</row>
    <row r="639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3"/>
    </row>
    <row r="640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</row>
    <row r="64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</row>
    <row r="642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</row>
    <row r="643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3"/>
    </row>
    <row r="644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3"/>
    </row>
    <row r="645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3"/>
    </row>
    <row r="646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3"/>
    </row>
    <row r="647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</row>
    <row r="648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  <c r="AG648" s="53"/>
      <c r="AH648" s="53"/>
      <c r="AI648" s="53"/>
    </row>
    <row r="649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  <c r="AG649" s="53"/>
      <c r="AH649" s="53"/>
      <c r="AI649" s="53"/>
    </row>
    <row r="650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  <c r="AI650" s="53"/>
    </row>
    <row r="65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  <c r="AH651" s="53"/>
      <c r="AI651" s="53"/>
    </row>
    <row r="652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  <c r="AH652" s="53"/>
      <c r="AI652" s="53"/>
    </row>
    <row r="653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</row>
    <row r="654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3"/>
    </row>
    <row r="655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3"/>
    </row>
    <row r="656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3"/>
    </row>
    <row r="657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3"/>
    </row>
    <row r="658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</row>
    <row r="659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</row>
    <row r="660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</row>
    <row r="66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</row>
    <row r="662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3"/>
    </row>
    <row r="663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</row>
    <row r="664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</row>
    <row r="665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</row>
    <row r="666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</row>
    <row r="667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</row>
    <row r="668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</row>
    <row r="669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</row>
    <row r="670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</row>
    <row r="67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3"/>
    </row>
    <row r="672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3"/>
    </row>
    <row r="673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</row>
    <row r="674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3"/>
    </row>
    <row r="675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</row>
    <row r="676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3"/>
    </row>
    <row r="677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3"/>
    </row>
    <row r="678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  <c r="AI678" s="53"/>
    </row>
    <row r="679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  <c r="AI679" s="53"/>
    </row>
    <row r="680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</row>
    <row r="68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</row>
    <row r="682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3"/>
    </row>
    <row r="683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  <c r="AI683" s="53"/>
    </row>
    <row r="684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  <c r="AH684" s="53"/>
      <c r="AI684" s="53"/>
    </row>
    <row r="685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3"/>
    </row>
    <row r="686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</row>
    <row r="687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</row>
    <row r="688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3"/>
    </row>
    <row r="689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</row>
    <row r="690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3"/>
    </row>
    <row r="69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</row>
    <row r="692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</row>
    <row r="693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  <c r="AA693" s="53"/>
      <c r="AB693" s="53"/>
      <c r="AC693" s="53"/>
      <c r="AD693" s="53"/>
      <c r="AE693" s="53"/>
      <c r="AF693" s="53"/>
      <c r="AG693" s="53"/>
      <c r="AH693" s="53"/>
      <c r="AI693" s="53"/>
    </row>
    <row r="694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  <c r="AA694" s="53"/>
      <c r="AB694" s="53"/>
      <c r="AC694" s="53"/>
      <c r="AD694" s="53"/>
      <c r="AE694" s="53"/>
      <c r="AF694" s="53"/>
      <c r="AG694" s="53"/>
      <c r="AH694" s="53"/>
      <c r="AI694" s="53"/>
    </row>
    <row r="695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  <c r="AA695" s="53"/>
      <c r="AB695" s="53"/>
      <c r="AC695" s="53"/>
      <c r="AD695" s="53"/>
      <c r="AE695" s="53"/>
      <c r="AF695" s="53"/>
      <c r="AG695" s="53"/>
      <c r="AH695" s="53"/>
      <c r="AI695" s="53"/>
    </row>
    <row r="696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  <c r="AA696" s="53"/>
      <c r="AB696" s="53"/>
      <c r="AC696" s="53"/>
      <c r="AD696" s="53"/>
      <c r="AE696" s="53"/>
      <c r="AF696" s="53"/>
      <c r="AG696" s="53"/>
      <c r="AH696" s="53"/>
      <c r="AI696" s="53"/>
    </row>
    <row r="697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  <c r="AA697" s="53"/>
      <c r="AB697" s="53"/>
      <c r="AC697" s="53"/>
      <c r="AD697" s="53"/>
      <c r="AE697" s="53"/>
      <c r="AF697" s="53"/>
      <c r="AG697" s="53"/>
      <c r="AH697" s="53"/>
      <c r="AI697" s="53"/>
    </row>
    <row r="698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  <c r="AA698" s="53"/>
      <c r="AB698" s="53"/>
      <c r="AC698" s="53"/>
      <c r="AD698" s="53"/>
      <c r="AE698" s="53"/>
      <c r="AF698" s="53"/>
      <c r="AG698" s="53"/>
      <c r="AH698" s="53"/>
      <c r="AI698" s="53"/>
    </row>
    <row r="699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  <c r="AA699" s="53"/>
      <c r="AB699" s="53"/>
      <c r="AC699" s="53"/>
      <c r="AD699" s="53"/>
      <c r="AE699" s="53"/>
      <c r="AF699" s="53"/>
      <c r="AG699" s="53"/>
      <c r="AH699" s="53"/>
      <c r="AI699" s="53"/>
    </row>
    <row r="700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  <c r="AA700" s="53"/>
      <c r="AB700" s="53"/>
      <c r="AC700" s="53"/>
      <c r="AD700" s="53"/>
      <c r="AE700" s="53"/>
      <c r="AF700" s="53"/>
      <c r="AG700" s="53"/>
      <c r="AH700" s="53"/>
      <c r="AI700" s="53"/>
    </row>
    <row r="70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  <c r="AA701" s="53"/>
      <c r="AB701" s="53"/>
      <c r="AC701" s="53"/>
      <c r="AD701" s="53"/>
      <c r="AE701" s="53"/>
      <c r="AF701" s="53"/>
      <c r="AG701" s="53"/>
      <c r="AH701" s="53"/>
      <c r="AI701" s="53"/>
    </row>
    <row r="702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  <c r="AA702" s="53"/>
      <c r="AB702" s="53"/>
      <c r="AC702" s="53"/>
      <c r="AD702" s="53"/>
      <c r="AE702" s="53"/>
      <c r="AF702" s="53"/>
      <c r="AG702" s="53"/>
      <c r="AH702" s="53"/>
      <c r="AI702" s="53"/>
    </row>
    <row r="703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  <c r="AA703" s="53"/>
      <c r="AB703" s="53"/>
      <c r="AC703" s="53"/>
      <c r="AD703" s="53"/>
      <c r="AE703" s="53"/>
      <c r="AF703" s="53"/>
      <c r="AG703" s="53"/>
      <c r="AH703" s="53"/>
      <c r="AI703" s="53"/>
    </row>
    <row r="704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  <c r="AA704" s="53"/>
      <c r="AB704" s="53"/>
      <c r="AC704" s="53"/>
      <c r="AD704" s="53"/>
      <c r="AE704" s="53"/>
      <c r="AF704" s="53"/>
      <c r="AG704" s="53"/>
      <c r="AH704" s="53"/>
      <c r="AI704" s="53"/>
    </row>
    <row r="705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  <c r="AA705" s="53"/>
      <c r="AB705" s="53"/>
      <c r="AC705" s="53"/>
      <c r="AD705" s="53"/>
      <c r="AE705" s="53"/>
      <c r="AF705" s="53"/>
      <c r="AG705" s="53"/>
      <c r="AH705" s="53"/>
      <c r="AI705" s="53"/>
    </row>
    <row r="706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  <c r="AA706" s="53"/>
      <c r="AB706" s="53"/>
      <c r="AC706" s="53"/>
      <c r="AD706" s="53"/>
      <c r="AE706" s="53"/>
      <c r="AF706" s="53"/>
      <c r="AG706" s="53"/>
      <c r="AH706" s="53"/>
      <c r="AI706" s="53"/>
    </row>
    <row r="707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  <c r="AA707" s="53"/>
      <c r="AB707" s="53"/>
      <c r="AC707" s="53"/>
      <c r="AD707" s="53"/>
      <c r="AE707" s="53"/>
      <c r="AF707" s="53"/>
      <c r="AG707" s="53"/>
      <c r="AH707" s="53"/>
      <c r="AI707" s="53"/>
    </row>
    <row r="708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  <c r="AA708" s="53"/>
      <c r="AB708" s="53"/>
      <c r="AC708" s="53"/>
      <c r="AD708" s="53"/>
      <c r="AE708" s="53"/>
      <c r="AF708" s="53"/>
      <c r="AG708" s="53"/>
      <c r="AH708" s="53"/>
      <c r="AI708" s="53"/>
    </row>
    <row r="709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  <c r="AA709" s="53"/>
      <c r="AB709" s="53"/>
      <c r="AC709" s="53"/>
      <c r="AD709" s="53"/>
      <c r="AE709" s="53"/>
      <c r="AF709" s="53"/>
      <c r="AG709" s="53"/>
      <c r="AH709" s="53"/>
      <c r="AI709" s="53"/>
    </row>
    <row r="710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  <c r="AA710" s="53"/>
      <c r="AB710" s="53"/>
      <c r="AC710" s="53"/>
      <c r="AD710" s="53"/>
      <c r="AE710" s="53"/>
      <c r="AF710" s="53"/>
      <c r="AG710" s="53"/>
      <c r="AH710" s="53"/>
      <c r="AI710" s="53"/>
    </row>
    <row r="71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  <c r="AA711" s="53"/>
      <c r="AB711" s="53"/>
      <c r="AC711" s="53"/>
      <c r="AD711" s="53"/>
      <c r="AE711" s="53"/>
      <c r="AF711" s="53"/>
      <c r="AG711" s="53"/>
      <c r="AH711" s="53"/>
      <c r="AI711" s="53"/>
    </row>
    <row r="712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  <c r="AA712" s="53"/>
      <c r="AB712" s="53"/>
      <c r="AC712" s="53"/>
      <c r="AD712" s="53"/>
      <c r="AE712" s="53"/>
      <c r="AF712" s="53"/>
      <c r="AG712" s="53"/>
      <c r="AH712" s="53"/>
      <c r="AI712" s="53"/>
    </row>
    <row r="713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  <c r="AA713" s="53"/>
      <c r="AB713" s="53"/>
      <c r="AC713" s="53"/>
      <c r="AD713" s="53"/>
      <c r="AE713" s="53"/>
      <c r="AF713" s="53"/>
      <c r="AG713" s="53"/>
      <c r="AH713" s="53"/>
      <c r="AI713" s="53"/>
    </row>
    <row r="714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  <c r="AA714" s="53"/>
      <c r="AB714" s="53"/>
      <c r="AC714" s="53"/>
      <c r="AD714" s="53"/>
      <c r="AE714" s="53"/>
      <c r="AF714" s="53"/>
      <c r="AG714" s="53"/>
      <c r="AH714" s="53"/>
      <c r="AI714" s="53"/>
    </row>
    <row r="715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  <c r="AA715" s="53"/>
      <c r="AB715" s="53"/>
      <c r="AC715" s="53"/>
      <c r="AD715" s="53"/>
      <c r="AE715" s="53"/>
      <c r="AF715" s="53"/>
      <c r="AG715" s="53"/>
      <c r="AH715" s="53"/>
      <c r="AI715" s="53"/>
    </row>
    <row r="716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  <c r="AA716" s="53"/>
      <c r="AB716" s="53"/>
      <c r="AC716" s="53"/>
      <c r="AD716" s="53"/>
      <c r="AE716" s="53"/>
      <c r="AF716" s="53"/>
      <c r="AG716" s="53"/>
      <c r="AH716" s="53"/>
      <c r="AI716" s="53"/>
    </row>
    <row r="717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  <c r="AA717" s="53"/>
      <c r="AB717" s="53"/>
      <c r="AC717" s="53"/>
      <c r="AD717" s="53"/>
      <c r="AE717" s="53"/>
      <c r="AF717" s="53"/>
      <c r="AG717" s="53"/>
      <c r="AH717" s="53"/>
      <c r="AI717" s="53"/>
    </row>
    <row r="718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  <c r="AA718" s="53"/>
      <c r="AB718" s="53"/>
      <c r="AC718" s="53"/>
      <c r="AD718" s="53"/>
      <c r="AE718" s="53"/>
      <c r="AF718" s="53"/>
      <c r="AG718" s="53"/>
      <c r="AH718" s="53"/>
      <c r="AI718" s="53"/>
    </row>
    <row r="719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  <c r="AA719" s="53"/>
      <c r="AB719" s="53"/>
      <c r="AC719" s="53"/>
      <c r="AD719" s="53"/>
      <c r="AE719" s="53"/>
      <c r="AF719" s="53"/>
      <c r="AG719" s="53"/>
      <c r="AH719" s="53"/>
      <c r="AI719" s="53"/>
    </row>
    <row r="720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  <c r="AA720" s="53"/>
      <c r="AB720" s="53"/>
      <c r="AC720" s="53"/>
      <c r="AD720" s="53"/>
      <c r="AE720" s="53"/>
      <c r="AF720" s="53"/>
      <c r="AG720" s="53"/>
      <c r="AH720" s="53"/>
      <c r="AI720" s="53"/>
    </row>
    <row r="72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  <c r="AA721" s="53"/>
      <c r="AB721" s="53"/>
      <c r="AC721" s="53"/>
      <c r="AD721" s="53"/>
      <c r="AE721" s="53"/>
      <c r="AF721" s="53"/>
      <c r="AG721" s="53"/>
      <c r="AH721" s="53"/>
      <c r="AI721" s="53"/>
    </row>
    <row r="722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  <c r="AA722" s="53"/>
      <c r="AB722" s="53"/>
      <c r="AC722" s="53"/>
      <c r="AD722" s="53"/>
      <c r="AE722" s="53"/>
      <c r="AF722" s="53"/>
      <c r="AG722" s="53"/>
      <c r="AH722" s="53"/>
      <c r="AI722" s="53"/>
    </row>
    <row r="723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  <c r="AA723" s="53"/>
      <c r="AB723" s="53"/>
      <c r="AC723" s="53"/>
      <c r="AD723" s="53"/>
      <c r="AE723" s="53"/>
      <c r="AF723" s="53"/>
      <c r="AG723" s="53"/>
      <c r="AH723" s="53"/>
      <c r="AI723" s="53"/>
    </row>
    <row r="724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  <c r="AA724" s="53"/>
      <c r="AB724" s="53"/>
      <c r="AC724" s="53"/>
      <c r="AD724" s="53"/>
      <c r="AE724" s="53"/>
      <c r="AF724" s="53"/>
      <c r="AG724" s="53"/>
      <c r="AH724" s="53"/>
      <c r="AI724" s="53"/>
    </row>
    <row r="725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  <c r="AB725" s="53"/>
      <c r="AC725" s="53"/>
      <c r="AD725" s="53"/>
      <c r="AE725" s="53"/>
      <c r="AF725" s="53"/>
      <c r="AG725" s="53"/>
      <c r="AH725" s="53"/>
      <c r="AI725" s="53"/>
    </row>
    <row r="726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  <c r="AA726" s="53"/>
      <c r="AB726" s="53"/>
      <c r="AC726" s="53"/>
      <c r="AD726" s="53"/>
      <c r="AE726" s="53"/>
      <c r="AF726" s="53"/>
      <c r="AG726" s="53"/>
      <c r="AH726" s="53"/>
      <c r="AI726" s="53"/>
    </row>
    <row r="727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  <c r="AA727" s="53"/>
      <c r="AB727" s="53"/>
      <c r="AC727" s="53"/>
      <c r="AD727" s="53"/>
      <c r="AE727" s="53"/>
      <c r="AF727" s="53"/>
      <c r="AG727" s="53"/>
      <c r="AH727" s="53"/>
      <c r="AI727" s="53"/>
    </row>
    <row r="728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  <c r="AA728" s="53"/>
      <c r="AB728" s="53"/>
      <c r="AC728" s="53"/>
      <c r="AD728" s="53"/>
      <c r="AE728" s="53"/>
      <c r="AF728" s="53"/>
      <c r="AG728" s="53"/>
      <c r="AH728" s="53"/>
      <c r="AI728" s="53"/>
    </row>
    <row r="729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  <c r="AA729" s="53"/>
      <c r="AB729" s="53"/>
      <c r="AC729" s="53"/>
      <c r="AD729" s="53"/>
      <c r="AE729" s="53"/>
      <c r="AF729" s="53"/>
      <c r="AG729" s="53"/>
      <c r="AH729" s="53"/>
      <c r="AI729" s="53"/>
    </row>
    <row r="730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  <c r="AA730" s="53"/>
      <c r="AB730" s="53"/>
      <c r="AC730" s="53"/>
      <c r="AD730" s="53"/>
      <c r="AE730" s="53"/>
      <c r="AF730" s="53"/>
      <c r="AG730" s="53"/>
      <c r="AH730" s="53"/>
      <c r="AI730" s="53"/>
    </row>
    <row r="73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  <c r="AA731" s="53"/>
      <c r="AB731" s="53"/>
      <c r="AC731" s="53"/>
      <c r="AD731" s="53"/>
      <c r="AE731" s="53"/>
      <c r="AF731" s="53"/>
      <c r="AG731" s="53"/>
      <c r="AH731" s="53"/>
      <c r="AI731" s="53"/>
    </row>
    <row r="732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  <c r="AA732" s="53"/>
      <c r="AB732" s="53"/>
      <c r="AC732" s="53"/>
      <c r="AD732" s="53"/>
      <c r="AE732" s="53"/>
      <c r="AF732" s="53"/>
      <c r="AG732" s="53"/>
      <c r="AH732" s="53"/>
      <c r="AI732" s="53"/>
    </row>
    <row r="733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3"/>
      <c r="AB733" s="53"/>
      <c r="AC733" s="53"/>
      <c r="AD733" s="53"/>
      <c r="AE733" s="53"/>
      <c r="AF733" s="53"/>
      <c r="AG733" s="53"/>
      <c r="AH733" s="53"/>
      <c r="AI733" s="53"/>
    </row>
    <row r="734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  <c r="AA734" s="53"/>
      <c r="AB734" s="53"/>
      <c r="AC734" s="53"/>
      <c r="AD734" s="53"/>
      <c r="AE734" s="53"/>
      <c r="AF734" s="53"/>
      <c r="AG734" s="53"/>
      <c r="AH734" s="53"/>
      <c r="AI734" s="53"/>
    </row>
    <row r="735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  <c r="AA735" s="53"/>
      <c r="AB735" s="53"/>
      <c r="AC735" s="53"/>
      <c r="AD735" s="53"/>
      <c r="AE735" s="53"/>
      <c r="AF735" s="53"/>
      <c r="AG735" s="53"/>
      <c r="AH735" s="53"/>
      <c r="AI735" s="53"/>
    </row>
    <row r="736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  <c r="AA736" s="53"/>
      <c r="AB736" s="53"/>
      <c r="AC736" s="53"/>
      <c r="AD736" s="53"/>
      <c r="AE736" s="53"/>
      <c r="AF736" s="53"/>
      <c r="AG736" s="53"/>
      <c r="AH736" s="53"/>
      <c r="AI736" s="53"/>
    </row>
    <row r="737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  <c r="AA737" s="53"/>
      <c r="AB737" s="53"/>
      <c r="AC737" s="53"/>
      <c r="AD737" s="53"/>
      <c r="AE737" s="53"/>
      <c r="AF737" s="53"/>
      <c r="AG737" s="53"/>
      <c r="AH737" s="53"/>
      <c r="AI737" s="53"/>
    </row>
    <row r="738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  <c r="AA738" s="53"/>
      <c r="AB738" s="53"/>
      <c r="AC738" s="53"/>
      <c r="AD738" s="53"/>
      <c r="AE738" s="53"/>
      <c r="AF738" s="53"/>
      <c r="AG738" s="53"/>
      <c r="AH738" s="53"/>
      <c r="AI738" s="53"/>
    </row>
    <row r="739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  <c r="AA739" s="53"/>
      <c r="AB739" s="53"/>
      <c r="AC739" s="53"/>
      <c r="AD739" s="53"/>
      <c r="AE739" s="53"/>
      <c r="AF739" s="53"/>
      <c r="AG739" s="53"/>
      <c r="AH739" s="53"/>
      <c r="AI739" s="53"/>
    </row>
    <row r="740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  <c r="AA740" s="53"/>
      <c r="AB740" s="53"/>
      <c r="AC740" s="53"/>
      <c r="AD740" s="53"/>
      <c r="AE740" s="53"/>
      <c r="AF740" s="53"/>
      <c r="AG740" s="53"/>
      <c r="AH740" s="53"/>
      <c r="AI740" s="53"/>
    </row>
    <row r="74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  <c r="AA741" s="53"/>
      <c r="AB741" s="53"/>
      <c r="AC741" s="53"/>
      <c r="AD741" s="53"/>
      <c r="AE741" s="53"/>
      <c r="AF741" s="53"/>
      <c r="AG741" s="53"/>
      <c r="AH741" s="53"/>
      <c r="AI741" s="53"/>
    </row>
    <row r="742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  <c r="AA742" s="53"/>
      <c r="AB742" s="53"/>
      <c r="AC742" s="53"/>
      <c r="AD742" s="53"/>
      <c r="AE742" s="53"/>
      <c r="AF742" s="53"/>
      <c r="AG742" s="53"/>
      <c r="AH742" s="53"/>
      <c r="AI742" s="53"/>
    </row>
    <row r="743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  <c r="AA743" s="53"/>
      <c r="AB743" s="53"/>
      <c r="AC743" s="53"/>
      <c r="AD743" s="53"/>
      <c r="AE743" s="53"/>
      <c r="AF743" s="53"/>
      <c r="AG743" s="53"/>
      <c r="AH743" s="53"/>
      <c r="AI743" s="53"/>
    </row>
    <row r="744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  <c r="AA744" s="53"/>
      <c r="AB744" s="53"/>
      <c r="AC744" s="53"/>
      <c r="AD744" s="53"/>
      <c r="AE744" s="53"/>
      <c r="AF744" s="53"/>
      <c r="AG744" s="53"/>
      <c r="AH744" s="53"/>
      <c r="AI744" s="53"/>
    </row>
    <row r="745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  <c r="AA745" s="53"/>
      <c r="AB745" s="53"/>
      <c r="AC745" s="53"/>
      <c r="AD745" s="53"/>
      <c r="AE745" s="53"/>
      <c r="AF745" s="53"/>
      <c r="AG745" s="53"/>
      <c r="AH745" s="53"/>
      <c r="AI745" s="53"/>
    </row>
    <row r="746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  <c r="AA746" s="53"/>
      <c r="AB746" s="53"/>
      <c r="AC746" s="53"/>
      <c r="AD746" s="53"/>
      <c r="AE746" s="53"/>
      <c r="AF746" s="53"/>
      <c r="AG746" s="53"/>
      <c r="AH746" s="53"/>
      <c r="AI746" s="53"/>
    </row>
    <row r="747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  <c r="AA747" s="53"/>
      <c r="AB747" s="53"/>
      <c r="AC747" s="53"/>
      <c r="AD747" s="53"/>
      <c r="AE747" s="53"/>
      <c r="AF747" s="53"/>
      <c r="AG747" s="53"/>
      <c r="AH747" s="53"/>
      <c r="AI747" s="53"/>
    </row>
    <row r="748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  <c r="AA748" s="53"/>
      <c r="AB748" s="53"/>
      <c r="AC748" s="53"/>
      <c r="AD748" s="53"/>
      <c r="AE748" s="53"/>
      <c r="AF748" s="53"/>
      <c r="AG748" s="53"/>
      <c r="AH748" s="53"/>
      <c r="AI748" s="53"/>
    </row>
    <row r="749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  <c r="AA749" s="53"/>
      <c r="AB749" s="53"/>
      <c r="AC749" s="53"/>
      <c r="AD749" s="53"/>
      <c r="AE749" s="53"/>
      <c r="AF749" s="53"/>
      <c r="AG749" s="53"/>
      <c r="AH749" s="53"/>
      <c r="AI749" s="53"/>
    </row>
    <row r="750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  <c r="AA750" s="53"/>
      <c r="AB750" s="53"/>
      <c r="AC750" s="53"/>
      <c r="AD750" s="53"/>
      <c r="AE750" s="53"/>
      <c r="AF750" s="53"/>
      <c r="AG750" s="53"/>
      <c r="AH750" s="53"/>
      <c r="AI750" s="53"/>
    </row>
    <row r="75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  <c r="AA751" s="53"/>
      <c r="AB751" s="53"/>
      <c r="AC751" s="53"/>
      <c r="AD751" s="53"/>
      <c r="AE751" s="53"/>
      <c r="AF751" s="53"/>
      <c r="AG751" s="53"/>
      <c r="AH751" s="53"/>
      <c r="AI751" s="53"/>
    </row>
    <row r="752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  <c r="AA752" s="53"/>
      <c r="AB752" s="53"/>
      <c r="AC752" s="53"/>
      <c r="AD752" s="53"/>
      <c r="AE752" s="53"/>
      <c r="AF752" s="53"/>
      <c r="AG752" s="53"/>
      <c r="AH752" s="53"/>
      <c r="AI752" s="53"/>
    </row>
    <row r="753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  <c r="AA753" s="53"/>
      <c r="AB753" s="53"/>
      <c r="AC753" s="53"/>
      <c r="AD753" s="53"/>
      <c r="AE753" s="53"/>
      <c r="AF753" s="53"/>
      <c r="AG753" s="53"/>
      <c r="AH753" s="53"/>
      <c r="AI753" s="53"/>
    </row>
    <row r="754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  <c r="AA754" s="53"/>
      <c r="AB754" s="53"/>
      <c r="AC754" s="53"/>
      <c r="AD754" s="53"/>
      <c r="AE754" s="53"/>
      <c r="AF754" s="53"/>
      <c r="AG754" s="53"/>
      <c r="AH754" s="53"/>
      <c r="AI754" s="53"/>
    </row>
    <row r="755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  <c r="AA755" s="53"/>
      <c r="AB755" s="53"/>
      <c r="AC755" s="53"/>
      <c r="AD755" s="53"/>
      <c r="AE755" s="53"/>
      <c r="AF755" s="53"/>
      <c r="AG755" s="53"/>
      <c r="AH755" s="53"/>
      <c r="AI755" s="53"/>
    </row>
    <row r="756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  <c r="AA756" s="53"/>
      <c r="AB756" s="53"/>
      <c r="AC756" s="53"/>
      <c r="AD756" s="53"/>
      <c r="AE756" s="53"/>
      <c r="AF756" s="53"/>
      <c r="AG756" s="53"/>
      <c r="AH756" s="53"/>
      <c r="AI756" s="53"/>
    </row>
    <row r="757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  <c r="AA757" s="53"/>
      <c r="AB757" s="53"/>
      <c r="AC757" s="53"/>
      <c r="AD757" s="53"/>
      <c r="AE757" s="53"/>
      <c r="AF757" s="53"/>
      <c r="AG757" s="53"/>
      <c r="AH757" s="53"/>
      <c r="AI757" s="53"/>
    </row>
    <row r="758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  <c r="AA758" s="53"/>
      <c r="AB758" s="53"/>
      <c r="AC758" s="53"/>
      <c r="AD758" s="53"/>
      <c r="AE758" s="53"/>
      <c r="AF758" s="53"/>
      <c r="AG758" s="53"/>
      <c r="AH758" s="53"/>
      <c r="AI758" s="53"/>
    </row>
    <row r="759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  <c r="AA759" s="53"/>
      <c r="AB759" s="53"/>
      <c r="AC759" s="53"/>
      <c r="AD759" s="53"/>
      <c r="AE759" s="53"/>
      <c r="AF759" s="53"/>
      <c r="AG759" s="53"/>
      <c r="AH759" s="53"/>
      <c r="AI759" s="53"/>
    </row>
    <row r="760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  <c r="AA760" s="53"/>
      <c r="AB760" s="53"/>
      <c r="AC760" s="53"/>
      <c r="AD760" s="53"/>
      <c r="AE760" s="53"/>
      <c r="AF760" s="53"/>
      <c r="AG760" s="53"/>
      <c r="AH760" s="53"/>
      <c r="AI760" s="53"/>
    </row>
    <row r="76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  <c r="AA761" s="53"/>
      <c r="AB761" s="53"/>
      <c r="AC761" s="53"/>
      <c r="AD761" s="53"/>
      <c r="AE761" s="53"/>
      <c r="AF761" s="53"/>
      <c r="AG761" s="53"/>
      <c r="AH761" s="53"/>
      <c r="AI761" s="53"/>
    </row>
    <row r="762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  <c r="AA762" s="53"/>
      <c r="AB762" s="53"/>
      <c r="AC762" s="53"/>
      <c r="AD762" s="53"/>
      <c r="AE762" s="53"/>
      <c r="AF762" s="53"/>
      <c r="AG762" s="53"/>
      <c r="AH762" s="53"/>
      <c r="AI762" s="53"/>
    </row>
    <row r="763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  <c r="AA763" s="53"/>
      <c r="AB763" s="53"/>
      <c r="AC763" s="53"/>
      <c r="AD763" s="53"/>
      <c r="AE763" s="53"/>
      <c r="AF763" s="53"/>
      <c r="AG763" s="53"/>
      <c r="AH763" s="53"/>
      <c r="AI763" s="53"/>
    </row>
    <row r="764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  <c r="AA764" s="53"/>
      <c r="AB764" s="53"/>
      <c r="AC764" s="53"/>
      <c r="AD764" s="53"/>
      <c r="AE764" s="53"/>
      <c r="AF764" s="53"/>
      <c r="AG764" s="53"/>
      <c r="AH764" s="53"/>
      <c r="AI764" s="53"/>
    </row>
    <row r="765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  <c r="AA765" s="53"/>
      <c r="AB765" s="53"/>
      <c r="AC765" s="53"/>
      <c r="AD765" s="53"/>
      <c r="AE765" s="53"/>
      <c r="AF765" s="53"/>
      <c r="AG765" s="53"/>
      <c r="AH765" s="53"/>
      <c r="AI765" s="53"/>
    </row>
    <row r="766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  <c r="AA766" s="53"/>
      <c r="AB766" s="53"/>
      <c r="AC766" s="53"/>
      <c r="AD766" s="53"/>
      <c r="AE766" s="53"/>
      <c r="AF766" s="53"/>
      <c r="AG766" s="53"/>
      <c r="AH766" s="53"/>
      <c r="AI766" s="53"/>
    </row>
    <row r="767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  <c r="AA767" s="53"/>
      <c r="AB767" s="53"/>
      <c r="AC767" s="53"/>
      <c r="AD767" s="53"/>
      <c r="AE767" s="53"/>
      <c r="AF767" s="53"/>
      <c r="AG767" s="53"/>
      <c r="AH767" s="53"/>
      <c r="AI767" s="53"/>
    </row>
    <row r="768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  <c r="AA768" s="53"/>
      <c r="AB768" s="53"/>
      <c r="AC768" s="53"/>
      <c r="AD768" s="53"/>
      <c r="AE768" s="53"/>
      <c r="AF768" s="53"/>
      <c r="AG768" s="53"/>
      <c r="AH768" s="53"/>
      <c r="AI768" s="53"/>
    </row>
    <row r="769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  <c r="AA769" s="53"/>
      <c r="AB769" s="53"/>
      <c r="AC769" s="53"/>
      <c r="AD769" s="53"/>
      <c r="AE769" s="53"/>
      <c r="AF769" s="53"/>
      <c r="AG769" s="53"/>
      <c r="AH769" s="53"/>
      <c r="AI769" s="53"/>
    </row>
    <row r="770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  <c r="AA770" s="53"/>
      <c r="AB770" s="53"/>
      <c r="AC770" s="53"/>
      <c r="AD770" s="53"/>
      <c r="AE770" s="53"/>
      <c r="AF770" s="53"/>
      <c r="AG770" s="53"/>
      <c r="AH770" s="53"/>
      <c r="AI770" s="53"/>
    </row>
    <row r="77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  <c r="AA771" s="53"/>
      <c r="AB771" s="53"/>
      <c r="AC771" s="53"/>
      <c r="AD771" s="53"/>
      <c r="AE771" s="53"/>
      <c r="AF771" s="53"/>
      <c r="AG771" s="53"/>
      <c r="AH771" s="53"/>
      <c r="AI771" s="53"/>
    </row>
    <row r="772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  <c r="AA772" s="53"/>
      <c r="AB772" s="53"/>
      <c r="AC772" s="53"/>
      <c r="AD772" s="53"/>
      <c r="AE772" s="53"/>
      <c r="AF772" s="53"/>
      <c r="AG772" s="53"/>
      <c r="AH772" s="53"/>
      <c r="AI772" s="53"/>
    </row>
    <row r="773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  <c r="AA773" s="53"/>
      <c r="AB773" s="53"/>
      <c r="AC773" s="53"/>
      <c r="AD773" s="53"/>
      <c r="AE773" s="53"/>
      <c r="AF773" s="53"/>
      <c r="AG773" s="53"/>
      <c r="AH773" s="53"/>
      <c r="AI773" s="53"/>
    </row>
    <row r="774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  <c r="AA774" s="53"/>
      <c r="AB774" s="53"/>
      <c r="AC774" s="53"/>
      <c r="AD774" s="53"/>
      <c r="AE774" s="53"/>
      <c r="AF774" s="53"/>
      <c r="AG774" s="53"/>
      <c r="AH774" s="53"/>
      <c r="AI774" s="53"/>
    </row>
    <row r="775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  <c r="AA775" s="53"/>
      <c r="AB775" s="53"/>
      <c r="AC775" s="53"/>
      <c r="AD775" s="53"/>
      <c r="AE775" s="53"/>
      <c r="AF775" s="53"/>
      <c r="AG775" s="53"/>
      <c r="AH775" s="53"/>
      <c r="AI775" s="53"/>
    </row>
    <row r="776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  <c r="AA776" s="53"/>
      <c r="AB776" s="53"/>
      <c r="AC776" s="53"/>
      <c r="AD776" s="53"/>
      <c r="AE776" s="53"/>
      <c r="AF776" s="53"/>
      <c r="AG776" s="53"/>
      <c r="AH776" s="53"/>
      <c r="AI776" s="53"/>
    </row>
    <row r="777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  <c r="AA777" s="53"/>
      <c r="AB777" s="53"/>
      <c r="AC777" s="53"/>
      <c r="AD777" s="53"/>
      <c r="AE777" s="53"/>
      <c r="AF777" s="53"/>
      <c r="AG777" s="53"/>
      <c r="AH777" s="53"/>
      <c r="AI777" s="53"/>
    </row>
    <row r="778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  <c r="AA778" s="53"/>
      <c r="AB778" s="53"/>
      <c r="AC778" s="53"/>
      <c r="AD778" s="53"/>
      <c r="AE778" s="53"/>
      <c r="AF778" s="53"/>
      <c r="AG778" s="53"/>
      <c r="AH778" s="53"/>
      <c r="AI778" s="53"/>
    </row>
    <row r="779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  <c r="AA779" s="53"/>
      <c r="AB779" s="53"/>
      <c r="AC779" s="53"/>
      <c r="AD779" s="53"/>
      <c r="AE779" s="53"/>
      <c r="AF779" s="53"/>
      <c r="AG779" s="53"/>
      <c r="AH779" s="53"/>
      <c r="AI779" s="53"/>
    </row>
    <row r="780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  <c r="AA780" s="53"/>
      <c r="AB780" s="53"/>
      <c r="AC780" s="53"/>
      <c r="AD780" s="53"/>
      <c r="AE780" s="53"/>
      <c r="AF780" s="53"/>
      <c r="AG780" s="53"/>
      <c r="AH780" s="53"/>
      <c r="AI780" s="53"/>
    </row>
    <row r="78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  <c r="AA781" s="53"/>
      <c r="AB781" s="53"/>
      <c r="AC781" s="53"/>
      <c r="AD781" s="53"/>
      <c r="AE781" s="53"/>
      <c r="AF781" s="53"/>
      <c r="AG781" s="53"/>
      <c r="AH781" s="53"/>
      <c r="AI781" s="53"/>
    </row>
    <row r="782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  <c r="AA782" s="53"/>
      <c r="AB782" s="53"/>
      <c r="AC782" s="53"/>
      <c r="AD782" s="53"/>
      <c r="AE782" s="53"/>
      <c r="AF782" s="53"/>
      <c r="AG782" s="53"/>
      <c r="AH782" s="53"/>
      <c r="AI782" s="53"/>
    </row>
    <row r="783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  <c r="AA783" s="53"/>
      <c r="AB783" s="53"/>
      <c r="AC783" s="53"/>
      <c r="AD783" s="53"/>
      <c r="AE783" s="53"/>
      <c r="AF783" s="53"/>
      <c r="AG783" s="53"/>
      <c r="AH783" s="53"/>
      <c r="AI783" s="53"/>
    </row>
    <row r="784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  <c r="AA784" s="53"/>
      <c r="AB784" s="53"/>
      <c r="AC784" s="53"/>
      <c r="AD784" s="53"/>
      <c r="AE784" s="53"/>
      <c r="AF784" s="53"/>
      <c r="AG784" s="53"/>
      <c r="AH784" s="53"/>
      <c r="AI784" s="53"/>
    </row>
    <row r="785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  <c r="AA785" s="53"/>
      <c r="AB785" s="53"/>
      <c r="AC785" s="53"/>
      <c r="AD785" s="53"/>
      <c r="AE785" s="53"/>
      <c r="AF785" s="53"/>
      <c r="AG785" s="53"/>
      <c r="AH785" s="53"/>
      <c r="AI785" s="53"/>
    </row>
    <row r="786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  <c r="AA786" s="53"/>
      <c r="AB786" s="53"/>
      <c r="AC786" s="53"/>
      <c r="AD786" s="53"/>
      <c r="AE786" s="53"/>
      <c r="AF786" s="53"/>
      <c r="AG786" s="53"/>
      <c r="AH786" s="53"/>
      <c r="AI786" s="53"/>
    </row>
    <row r="787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  <c r="AA787" s="53"/>
      <c r="AB787" s="53"/>
      <c r="AC787" s="53"/>
      <c r="AD787" s="53"/>
      <c r="AE787" s="53"/>
      <c r="AF787" s="53"/>
      <c r="AG787" s="53"/>
      <c r="AH787" s="53"/>
      <c r="AI787" s="53"/>
    </row>
    <row r="788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  <c r="AA788" s="53"/>
      <c r="AB788" s="53"/>
      <c r="AC788" s="53"/>
      <c r="AD788" s="53"/>
      <c r="AE788" s="53"/>
      <c r="AF788" s="53"/>
      <c r="AG788" s="53"/>
      <c r="AH788" s="53"/>
      <c r="AI788" s="53"/>
    </row>
    <row r="789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  <c r="AA789" s="53"/>
      <c r="AB789" s="53"/>
      <c r="AC789" s="53"/>
      <c r="AD789" s="53"/>
      <c r="AE789" s="53"/>
      <c r="AF789" s="53"/>
      <c r="AG789" s="53"/>
      <c r="AH789" s="53"/>
      <c r="AI789" s="53"/>
    </row>
    <row r="790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  <c r="AA790" s="53"/>
      <c r="AB790" s="53"/>
      <c r="AC790" s="53"/>
      <c r="AD790" s="53"/>
      <c r="AE790" s="53"/>
      <c r="AF790" s="53"/>
      <c r="AG790" s="53"/>
      <c r="AH790" s="53"/>
      <c r="AI790" s="53"/>
    </row>
    <row r="79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  <c r="AA791" s="53"/>
      <c r="AB791" s="53"/>
      <c r="AC791" s="53"/>
      <c r="AD791" s="53"/>
      <c r="AE791" s="53"/>
      <c r="AF791" s="53"/>
      <c r="AG791" s="53"/>
      <c r="AH791" s="53"/>
      <c r="AI791" s="53"/>
    </row>
    <row r="792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  <c r="AA792" s="53"/>
      <c r="AB792" s="53"/>
      <c r="AC792" s="53"/>
      <c r="AD792" s="53"/>
      <c r="AE792" s="53"/>
      <c r="AF792" s="53"/>
      <c r="AG792" s="53"/>
      <c r="AH792" s="53"/>
      <c r="AI792" s="53"/>
    </row>
    <row r="793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  <c r="AA793" s="53"/>
      <c r="AB793" s="53"/>
      <c r="AC793" s="53"/>
      <c r="AD793" s="53"/>
      <c r="AE793" s="53"/>
      <c r="AF793" s="53"/>
      <c r="AG793" s="53"/>
      <c r="AH793" s="53"/>
      <c r="AI793" s="53"/>
    </row>
    <row r="794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  <c r="AA794" s="53"/>
      <c r="AB794" s="53"/>
      <c r="AC794" s="53"/>
      <c r="AD794" s="53"/>
      <c r="AE794" s="53"/>
      <c r="AF794" s="53"/>
      <c r="AG794" s="53"/>
      <c r="AH794" s="53"/>
      <c r="AI794" s="53"/>
    </row>
    <row r="795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  <c r="AA795" s="53"/>
      <c r="AB795" s="53"/>
      <c r="AC795" s="53"/>
      <c r="AD795" s="53"/>
      <c r="AE795" s="53"/>
      <c r="AF795" s="53"/>
      <c r="AG795" s="53"/>
      <c r="AH795" s="53"/>
      <c r="AI795" s="53"/>
    </row>
    <row r="796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  <c r="AA796" s="53"/>
      <c r="AB796" s="53"/>
      <c r="AC796" s="53"/>
      <c r="AD796" s="53"/>
      <c r="AE796" s="53"/>
      <c r="AF796" s="53"/>
      <c r="AG796" s="53"/>
      <c r="AH796" s="53"/>
      <c r="AI796" s="53"/>
    </row>
    <row r="797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  <c r="AA797" s="53"/>
      <c r="AB797" s="53"/>
      <c r="AC797" s="53"/>
      <c r="AD797" s="53"/>
      <c r="AE797" s="53"/>
      <c r="AF797" s="53"/>
      <c r="AG797" s="53"/>
      <c r="AH797" s="53"/>
      <c r="AI797" s="53"/>
    </row>
    <row r="798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  <c r="AA798" s="53"/>
      <c r="AB798" s="53"/>
      <c r="AC798" s="53"/>
      <c r="AD798" s="53"/>
      <c r="AE798" s="53"/>
      <c r="AF798" s="53"/>
      <c r="AG798" s="53"/>
      <c r="AH798" s="53"/>
      <c r="AI798" s="53"/>
    </row>
    <row r="799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  <c r="AA799" s="53"/>
      <c r="AB799" s="53"/>
      <c r="AC799" s="53"/>
      <c r="AD799" s="53"/>
      <c r="AE799" s="53"/>
      <c r="AF799" s="53"/>
      <c r="AG799" s="53"/>
      <c r="AH799" s="53"/>
      <c r="AI799" s="53"/>
    </row>
    <row r="800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  <c r="AA800" s="53"/>
      <c r="AB800" s="53"/>
      <c r="AC800" s="53"/>
      <c r="AD800" s="53"/>
      <c r="AE800" s="53"/>
      <c r="AF800" s="53"/>
      <c r="AG800" s="53"/>
      <c r="AH800" s="53"/>
      <c r="AI800" s="53"/>
    </row>
    <row r="80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  <c r="AA801" s="53"/>
      <c r="AB801" s="53"/>
      <c r="AC801" s="53"/>
      <c r="AD801" s="53"/>
      <c r="AE801" s="53"/>
      <c r="AF801" s="53"/>
      <c r="AG801" s="53"/>
      <c r="AH801" s="53"/>
      <c r="AI801" s="53"/>
    </row>
    <row r="802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  <c r="AA802" s="53"/>
      <c r="AB802" s="53"/>
      <c r="AC802" s="53"/>
      <c r="AD802" s="53"/>
      <c r="AE802" s="53"/>
      <c r="AF802" s="53"/>
      <c r="AG802" s="53"/>
      <c r="AH802" s="53"/>
      <c r="AI802" s="53"/>
    </row>
    <row r="803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  <c r="AA803" s="53"/>
      <c r="AB803" s="53"/>
      <c r="AC803" s="53"/>
      <c r="AD803" s="53"/>
      <c r="AE803" s="53"/>
      <c r="AF803" s="53"/>
      <c r="AG803" s="53"/>
      <c r="AH803" s="53"/>
      <c r="AI803" s="53"/>
    </row>
    <row r="804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  <c r="AA804" s="53"/>
      <c r="AB804" s="53"/>
      <c r="AC804" s="53"/>
      <c r="AD804" s="53"/>
      <c r="AE804" s="53"/>
      <c r="AF804" s="53"/>
      <c r="AG804" s="53"/>
      <c r="AH804" s="53"/>
      <c r="AI804" s="53"/>
    </row>
    <row r="805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  <c r="AA805" s="53"/>
      <c r="AB805" s="53"/>
      <c r="AC805" s="53"/>
      <c r="AD805" s="53"/>
      <c r="AE805" s="53"/>
      <c r="AF805" s="53"/>
      <c r="AG805" s="53"/>
      <c r="AH805" s="53"/>
      <c r="AI805" s="53"/>
    </row>
    <row r="806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  <c r="AA806" s="53"/>
      <c r="AB806" s="53"/>
      <c r="AC806" s="53"/>
      <c r="AD806" s="53"/>
      <c r="AE806" s="53"/>
      <c r="AF806" s="53"/>
      <c r="AG806" s="53"/>
      <c r="AH806" s="53"/>
      <c r="AI806" s="53"/>
    </row>
    <row r="807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  <c r="AA807" s="53"/>
      <c r="AB807" s="53"/>
      <c r="AC807" s="53"/>
      <c r="AD807" s="53"/>
      <c r="AE807" s="53"/>
      <c r="AF807" s="53"/>
      <c r="AG807" s="53"/>
      <c r="AH807" s="53"/>
      <c r="AI807" s="53"/>
    </row>
    <row r="808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  <c r="AA808" s="53"/>
      <c r="AB808" s="53"/>
      <c r="AC808" s="53"/>
      <c r="AD808" s="53"/>
      <c r="AE808" s="53"/>
      <c r="AF808" s="53"/>
      <c r="AG808" s="53"/>
      <c r="AH808" s="53"/>
      <c r="AI808" s="53"/>
    </row>
    <row r="809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  <c r="AA809" s="53"/>
      <c r="AB809" s="53"/>
      <c r="AC809" s="53"/>
      <c r="AD809" s="53"/>
      <c r="AE809" s="53"/>
      <c r="AF809" s="53"/>
      <c r="AG809" s="53"/>
      <c r="AH809" s="53"/>
      <c r="AI809" s="53"/>
    </row>
    <row r="810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  <c r="AA810" s="53"/>
      <c r="AB810" s="53"/>
      <c r="AC810" s="53"/>
      <c r="AD810" s="53"/>
      <c r="AE810" s="53"/>
      <c r="AF810" s="53"/>
      <c r="AG810" s="53"/>
      <c r="AH810" s="53"/>
      <c r="AI810" s="53"/>
    </row>
    <row r="81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  <c r="AA811" s="53"/>
      <c r="AB811" s="53"/>
      <c r="AC811" s="53"/>
      <c r="AD811" s="53"/>
      <c r="AE811" s="53"/>
      <c r="AF811" s="53"/>
      <c r="AG811" s="53"/>
      <c r="AH811" s="53"/>
      <c r="AI811" s="53"/>
    </row>
    <row r="812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  <c r="AA812" s="53"/>
      <c r="AB812" s="53"/>
      <c r="AC812" s="53"/>
      <c r="AD812" s="53"/>
      <c r="AE812" s="53"/>
      <c r="AF812" s="53"/>
      <c r="AG812" s="53"/>
      <c r="AH812" s="53"/>
      <c r="AI812" s="53"/>
    </row>
    <row r="813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  <c r="AA813" s="53"/>
      <c r="AB813" s="53"/>
      <c r="AC813" s="53"/>
      <c r="AD813" s="53"/>
      <c r="AE813" s="53"/>
      <c r="AF813" s="53"/>
      <c r="AG813" s="53"/>
      <c r="AH813" s="53"/>
      <c r="AI813" s="53"/>
    </row>
    <row r="814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  <c r="AA814" s="53"/>
      <c r="AB814" s="53"/>
      <c r="AC814" s="53"/>
      <c r="AD814" s="53"/>
      <c r="AE814" s="53"/>
      <c r="AF814" s="53"/>
      <c r="AG814" s="53"/>
      <c r="AH814" s="53"/>
      <c r="AI814" s="53"/>
    </row>
    <row r="815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  <c r="AA815" s="53"/>
      <c r="AB815" s="53"/>
      <c r="AC815" s="53"/>
      <c r="AD815" s="53"/>
      <c r="AE815" s="53"/>
      <c r="AF815" s="53"/>
      <c r="AG815" s="53"/>
      <c r="AH815" s="53"/>
      <c r="AI815" s="53"/>
    </row>
    <row r="816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  <c r="AA816" s="53"/>
      <c r="AB816" s="53"/>
      <c r="AC816" s="53"/>
      <c r="AD816" s="53"/>
      <c r="AE816" s="53"/>
      <c r="AF816" s="53"/>
      <c r="AG816" s="53"/>
      <c r="AH816" s="53"/>
      <c r="AI816" s="53"/>
    </row>
    <row r="817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  <c r="AA817" s="53"/>
      <c r="AB817" s="53"/>
      <c r="AC817" s="53"/>
      <c r="AD817" s="53"/>
      <c r="AE817" s="53"/>
      <c r="AF817" s="53"/>
      <c r="AG817" s="53"/>
      <c r="AH817" s="53"/>
      <c r="AI817" s="53"/>
    </row>
    <row r="818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  <c r="AA818" s="53"/>
      <c r="AB818" s="53"/>
      <c r="AC818" s="53"/>
      <c r="AD818" s="53"/>
      <c r="AE818" s="53"/>
      <c r="AF818" s="53"/>
      <c r="AG818" s="53"/>
      <c r="AH818" s="53"/>
      <c r="AI818" s="53"/>
    </row>
    <row r="819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  <c r="AA819" s="53"/>
      <c r="AB819" s="53"/>
      <c r="AC819" s="53"/>
      <c r="AD819" s="53"/>
      <c r="AE819" s="53"/>
      <c r="AF819" s="53"/>
      <c r="AG819" s="53"/>
      <c r="AH819" s="53"/>
      <c r="AI819" s="53"/>
    </row>
    <row r="820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  <c r="AA820" s="53"/>
      <c r="AB820" s="53"/>
      <c r="AC820" s="53"/>
      <c r="AD820" s="53"/>
      <c r="AE820" s="53"/>
      <c r="AF820" s="53"/>
      <c r="AG820" s="53"/>
      <c r="AH820" s="53"/>
      <c r="AI820" s="53"/>
    </row>
    <row r="82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  <c r="AA821" s="53"/>
      <c r="AB821" s="53"/>
      <c r="AC821" s="53"/>
      <c r="AD821" s="53"/>
      <c r="AE821" s="53"/>
      <c r="AF821" s="53"/>
      <c r="AG821" s="53"/>
      <c r="AH821" s="53"/>
      <c r="AI821" s="53"/>
    </row>
    <row r="822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  <c r="AA822" s="53"/>
      <c r="AB822" s="53"/>
      <c r="AC822" s="53"/>
      <c r="AD822" s="53"/>
      <c r="AE822" s="53"/>
      <c r="AF822" s="53"/>
      <c r="AG822" s="53"/>
      <c r="AH822" s="53"/>
      <c r="AI822" s="53"/>
    </row>
    <row r="823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  <c r="AA823" s="53"/>
      <c r="AB823" s="53"/>
      <c r="AC823" s="53"/>
      <c r="AD823" s="53"/>
      <c r="AE823" s="53"/>
      <c r="AF823" s="53"/>
      <c r="AG823" s="53"/>
      <c r="AH823" s="53"/>
      <c r="AI823" s="53"/>
    </row>
    <row r="824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  <c r="AA824" s="53"/>
      <c r="AB824" s="53"/>
      <c r="AC824" s="53"/>
      <c r="AD824" s="53"/>
      <c r="AE824" s="53"/>
      <c r="AF824" s="53"/>
      <c r="AG824" s="53"/>
      <c r="AH824" s="53"/>
      <c r="AI824" s="53"/>
    </row>
    <row r="825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  <c r="AA825" s="53"/>
      <c r="AB825" s="53"/>
      <c r="AC825" s="53"/>
      <c r="AD825" s="53"/>
      <c r="AE825" s="53"/>
      <c r="AF825" s="53"/>
      <c r="AG825" s="53"/>
      <c r="AH825" s="53"/>
      <c r="AI825" s="53"/>
    </row>
    <row r="826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  <c r="AA826" s="53"/>
      <c r="AB826" s="53"/>
      <c r="AC826" s="53"/>
      <c r="AD826" s="53"/>
      <c r="AE826" s="53"/>
      <c r="AF826" s="53"/>
      <c r="AG826" s="53"/>
      <c r="AH826" s="53"/>
      <c r="AI826" s="53"/>
    </row>
    <row r="827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  <c r="AA827" s="53"/>
      <c r="AB827" s="53"/>
      <c r="AC827" s="53"/>
      <c r="AD827" s="53"/>
      <c r="AE827" s="53"/>
      <c r="AF827" s="53"/>
      <c r="AG827" s="53"/>
      <c r="AH827" s="53"/>
      <c r="AI827" s="53"/>
    </row>
    <row r="828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  <c r="AA828" s="53"/>
      <c r="AB828" s="53"/>
      <c r="AC828" s="53"/>
      <c r="AD828" s="53"/>
      <c r="AE828" s="53"/>
      <c r="AF828" s="53"/>
      <c r="AG828" s="53"/>
      <c r="AH828" s="53"/>
      <c r="AI828" s="53"/>
    </row>
    <row r="829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  <c r="AA829" s="53"/>
      <c r="AB829" s="53"/>
      <c r="AC829" s="53"/>
      <c r="AD829" s="53"/>
      <c r="AE829" s="53"/>
      <c r="AF829" s="53"/>
      <c r="AG829" s="53"/>
      <c r="AH829" s="53"/>
      <c r="AI829" s="53"/>
    </row>
    <row r="830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  <c r="AA830" s="53"/>
      <c r="AB830" s="53"/>
      <c r="AC830" s="53"/>
      <c r="AD830" s="53"/>
      <c r="AE830" s="53"/>
      <c r="AF830" s="53"/>
      <c r="AG830" s="53"/>
      <c r="AH830" s="53"/>
      <c r="AI830" s="53"/>
    </row>
    <row r="83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  <c r="AA831" s="53"/>
      <c r="AB831" s="53"/>
      <c r="AC831" s="53"/>
      <c r="AD831" s="53"/>
      <c r="AE831" s="53"/>
      <c r="AF831" s="53"/>
      <c r="AG831" s="53"/>
      <c r="AH831" s="53"/>
      <c r="AI831" s="53"/>
    </row>
    <row r="832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  <c r="AA832" s="53"/>
      <c r="AB832" s="53"/>
      <c r="AC832" s="53"/>
      <c r="AD832" s="53"/>
      <c r="AE832" s="53"/>
      <c r="AF832" s="53"/>
      <c r="AG832" s="53"/>
      <c r="AH832" s="53"/>
      <c r="AI832" s="53"/>
    </row>
    <row r="833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  <c r="AA833" s="53"/>
      <c r="AB833" s="53"/>
      <c r="AC833" s="53"/>
      <c r="AD833" s="53"/>
      <c r="AE833" s="53"/>
      <c r="AF833" s="53"/>
      <c r="AG833" s="53"/>
      <c r="AH833" s="53"/>
      <c r="AI833" s="53"/>
    </row>
    <row r="834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  <c r="AA834" s="53"/>
      <c r="AB834" s="53"/>
      <c r="AC834" s="53"/>
      <c r="AD834" s="53"/>
      <c r="AE834" s="53"/>
      <c r="AF834" s="53"/>
      <c r="AG834" s="53"/>
      <c r="AH834" s="53"/>
      <c r="AI834" s="53"/>
    </row>
    <row r="835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  <c r="AA835" s="53"/>
      <c r="AB835" s="53"/>
      <c r="AC835" s="53"/>
      <c r="AD835" s="53"/>
      <c r="AE835" s="53"/>
      <c r="AF835" s="53"/>
      <c r="AG835" s="53"/>
      <c r="AH835" s="53"/>
      <c r="AI835" s="53"/>
    </row>
    <row r="836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  <c r="AA836" s="53"/>
      <c r="AB836" s="53"/>
      <c r="AC836" s="53"/>
      <c r="AD836" s="53"/>
      <c r="AE836" s="53"/>
      <c r="AF836" s="53"/>
      <c r="AG836" s="53"/>
      <c r="AH836" s="53"/>
      <c r="AI836" s="53"/>
    </row>
    <row r="837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  <c r="AA837" s="53"/>
      <c r="AB837" s="53"/>
      <c r="AC837" s="53"/>
      <c r="AD837" s="53"/>
      <c r="AE837" s="53"/>
      <c r="AF837" s="53"/>
      <c r="AG837" s="53"/>
      <c r="AH837" s="53"/>
      <c r="AI837" s="53"/>
    </row>
    <row r="838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  <c r="AA838" s="53"/>
      <c r="AB838" s="53"/>
      <c r="AC838" s="53"/>
      <c r="AD838" s="53"/>
      <c r="AE838" s="53"/>
      <c r="AF838" s="53"/>
      <c r="AG838" s="53"/>
      <c r="AH838" s="53"/>
      <c r="AI838" s="53"/>
    </row>
    <row r="839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  <c r="AA839" s="53"/>
      <c r="AB839" s="53"/>
      <c r="AC839" s="53"/>
      <c r="AD839" s="53"/>
      <c r="AE839" s="53"/>
      <c r="AF839" s="53"/>
      <c r="AG839" s="53"/>
      <c r="AH839" s="53"/>
      <c r="AI839" s="53"/>
    </row>
    <row r="840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  <c r="AA840" s="53"/>
      <c r="AB840" s="53"/>
      <c r="AC840" s="53"/>
      <c r="AD840" s="53"/>
      <c r="AE840" s="53"/>
      <c r="AF840" s="53"/>
      <c r="AG840" s="53"/>
      <c r="AH840" s="53"/>
      <c r="AI840" s="53"/>
    </row>
    <row r="84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  <c r="AA841" s="53"/>
      <c r="AB841" s="53"/>
      <c r="AC841" s="53"/>
      <c r="AD841" s="53"/>
      <c r="AE841" s="53"/>
      <c r="AF841" s="53"/>
      <c r="AG841" s="53"/>
      <c r="AH841" s="53"/>
      <c r="AI841" s="53"/>
    </row>
    <row r="842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  <c r="AA842" s="53"/>
      <c r="AB842" s="53"/>
      <c r="AC842" s="53"/>
      <c r="AD842" s="53"/>
      <c r="AE842" s="53"/>
      <c r="AF842" s="53"/>
      <c r="AG842" s="53"/>
      <c r="AH842" s="53"/>
      <c r="AI842" s="53"/>
    </row>
    <row r="843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  <c r="AA843" s="53"/>
      <c r="AB843" s="53"/>
      <c r="AC843" s="53"/>
      <c r="AD843" s="53"/>
      <c r="AE843" s="53"/>
      <c r="AF843" s="53"/>
      <c r="AG843" s="53"/>
      <c r="AH843" s="53"/>
      <c r="AI843" s="53"/>
    </row>
    <row r="844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  <c r="AA844" s="53"/>
      <c r="AB844" s="53"/>
      <c r="AC844" s="53"/>
      <c r="AD844" s="53"/>
      <c r="AE844" s="53"/>
      <c r="AF844" s="53"/>
      <c r="AG844" s="53"/>
      <c r="AH844" s="53"/>
      <c r="AI844" s="53"/>
    </row>
    <row r="845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  <c r="AA845" s="53"/>
      <c r="AB845" s="53"/>
      <c r="AC845" s="53"/>
      <c r="AD845" s="53"/>
      <c r="AE845" s="53"/>
      <c r="AF845" s="53"/>
      <c r="AG845" s="53"/>
      <c r="AH845" s="53"/>
      <c r="AI845" s="53"/>
    </row>
    <row r="846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  <c r="AA846" s="53"/>
      <c r="AB846" s="53"/>
      <c r="AC846" s="53"/>
      <c r="AD846" s="53"/>
      <c r="AE846" s="53"/>
      <c r="AF846" s="53"/>
      <c r="AG846" s="53"/>
      <c r="AH846" s="53"/>
      <c r="AI846" s="53"/>
    </row>
    <row r="847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  <c r="AA847" s="53"/>
      <c r="AB847" s="53"/>
      <c r="AC847" s="53"/>
      <c r="AD847" s="53"/>
      <c r="AE847" s="53"/>
      <c r="AF847" s="53"/>
      <c r="AG847" s="53"/>
      <c r="AH847" s="53"/>
      <c r="AI847" s="53"/>
    </row>
    <row r="848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  <c r="AA848" s="53"/>
      <c r="AB848" s="53"/>
      <c r="AC848" s="53"/>
      <c r="AD848" s="53"/>
      <c r="AE848" s="53"/>
      <c r="AF848" s="53"/>
      <c r="AG848" s="53"/>
      <c r="AH848" s="53"/>
      <c r="AI848" s="53"/>
    </row>
    <row r="849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  <c r="AA849" s="53"/>
      <c r="AB849" s="53"/>
      <c r="AC849" s="53"/>
      <c r="AD849" s="53"/>
      <c r="AE849" s="53"/>
      <c r="AF849" s="53"/>
      <c r="AG849" s="53"/>
      <c r="AH849" s="53"/>
      <c r="AI849" s="53"/>
    </row>
    <row r="850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  <c r="AA850" s="53"/>
      <c r="AB850" s="53"/>
      <c r="AC850" s="53"/>
      <c r="AD850" s="53"/>
      <c r="AE850" s="53"/>
      <c r="AF850" s="53"/>
      <c r="AG850" s="53"/>
      <c r="AH850" s="53"/>
      <c r="AI850" s="53"/>
    </row>
    <row r="85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  <c r="AA851" s="53"/>
      <c r="AB851" s="53"/>
      <c r="AC851" s="53"/>
      <c r="AD851" s="53"/>
      <c r="AE851" s="53"/>
      <c r="AF851" s="53"/>
      <c r="AG851" s="53"/>
      <c r="AH851" s="53"/>
      <c r="AI851" s="53"/>
    </row>
    <row r="852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  <c r="AA852" s="53"/>
      <c r="AB852" s="53"/>
      <c r="AC852" s="53"/>
      <c r="AD852" s="53"/>
      <c r="AE852" s="53"/>
      <c r="AF852" s="53"/>
      <c r="AG852" s="53"/>
      <c r="AH852" s="53"/>
      <c r="AI852" s="53"/>
    </row>
    <row r="853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  <c r="AA853" s="53"/>
      <c r="AB853" s="53"/>
      <c r="AC853" s="53"/>
      <c r="AD853" s="53"/>
      <c r="AE853" s="53"/>
      <c r="AF853" s="53"/>
      <c r="AG853" s="53"/>
      <c r="AH853" s="53"/>
      <c r="AI853" s="53"/>
    </row>
    <row r="854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  <c r="AA854" s="53"/>
      <c r="AB854" s="53"/>
      <c r="AC854" s="53"/>
      <c r="AD854" s="53"/>
      <c r="AE854" s="53"/>
      <c r="AF854" s="53"/>
      <c r="AG854" s="53"/>
      <c r="AH854" s="53"/>
      <c r="AI854" s="53"/>
    </row>
    <row r="855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  <c r="AA855" s="53"/>
      <c r="AB855" s="53"/>
      <c r="AC855" s="53"/>
      <c r="AD855" s="53"/>
      <c r="AE855" s="53"/>
      <c r="AF855" s="53"/>
      <c r="AG855" s="53"/>
      <c r="AH855" s="53"/>
      <c r="AI855" s="53"/>
    </row>
    <row r="856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  <c r="AA856" s="53"/>
      <c r="AB856" s="53"/>
      <c r="AC856" s="53"/>
      <c r="AD856" s="53"/>
      <c r="AE856" s="53"/>
      <c r="AF856" s="53"/>
      <c r="AG856" s="53"/>
      <c r="AH856" s="53"/>
      <c r="AI856" s="53"/>
    </row>
    <row r="857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  <c r="AA857" s="53"/>
      <c r="AB857" s="53"/>
      <c r="AC857" s="53"/>
      <c r="AD857" s="53"/>
      <c r="AE857" s="53"/>
      <c r="AF857" s="53"/>
      <c r="AG857" s="53"/>
      <c r="AH857" s="53"/>
      <c r="AI857" s="53"/>
    </row>
    <row r="858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  <c r="AA858" s="53"/>
      <c r="AB858" s="53"/>
      <c r="AC858" s="53"/>
      <c r="AD858" s="53"/>
      <c r="AE858" s="53"/>
      <c r="AF858" s="53"/>
      <c r="AG858" s="53"/>
      <c r="AH858" s="53"/>
      <c r="AI858" s="53"/>
    </row>
    <row r="859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  <c r="AA859" s="53"/>
      <c r="AB859" s="53"/>
      <c r="AC859" s="53"/>
      <c r="AD859" s="53"/>
      <c r="AE859" s="53"/>
      <c r="AF859" s="53"/>
      <c r="AG859" s="53"/>
      <c r="AH859" s="53"/>
      <c r="AI859" s="53"/>
    </row>
    <row r="860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  <c r="AA860" s="53"/>
      <c r="AB860" s="53"/>
      <c r="AC860" s="53"/>
      <c r="AD860" s="53"/>
      <c r="AE860" s="53"/>
      <c r="AF860" s="53"/>
      <c r="AG860" s="53"/>
      <c r="AH860" s="53"/>
      <c r="AI860" s="53"/>
    </row>
    <row r="86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  <c r="AA861" s="53"/>
      <c r="AB861" s="53"/>
      <c r="AC861" s="53"/>
      <c r="AD861" s="53"/>
      <c r="AE861" s="53"/>
      <c r="AF861" s="53"/>
      <c r="AG861" s="53"/>
      <c r="AH861" s="53"/>
      <c r="AI861" s="53"/>
    </row>
    <row r="862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  <c r="AA862" s="53"/>
      <c r="AB862" s="53"/>
      <c r="AC862" s="53"/>
      <c r="AD862" s="53"/>
      <c r="AE862" s="53"/>
      <c r="AF862" s="53"/>
      <c r="AG862" s="53"/>
      <c r="AH862" s="53"/>
      <c r="AI862" s="53"/>
    </row>
    <row r="863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  <c r="AA863" s="53"/>
      <c r="AB863" s="53"/>
      <c r="AC863" s="53"/>
      <c r="AD863" s="53"/>
      <c r="AE863" s="53"/>
      <c r="AF863" s="53"/>
      <c r="AG863" s="53"/>
      <c r="AH863" s="53"/>
      <c r="AI863" s="53"/>
    </row>
    <row r="864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  <c r="AA864" s="53"/>
      <c r="AB864" s="53"/>
      <c r="AC864" s="53"/>
      <c r="AD864" s="53"/>
      <c r="AE864" s="53"/>
      <c r="AF864" s="53"/>
      <c r="AG864" s="53"/>
      <c r="AH864" s="53"/>
      <c r="AI864" s="53"/>
    </row>
    <row r="865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  <c r="AA865" s="53"/>
      <c r="AB865" s="53"/>
      <c r="AC865" s="53"/>
      <c r="AD865" s="53"/>
      <c r="AE865" s="53"/>
      <c r="AF865" s="53"/>
      <c r="AG865" s="53"/>
      <c r="AH865" s="53"/>
      <c r="AI865" s="53"/>
    </row>
    <row r="866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  <c r="AA866" s="53"/>
      <c r="AB866" s="53"/>
      <c r="AC866" s="53"/>
      <c r="AD866" s="53"/>
      <c r="AE866" s="53"/>
      <c r="AF866" s="53"/>
      <c r="AG866" s="53"/>
      <c r="AH866" s="53"/>
      <c r="AI866" s="53"/>
    </row>
    <row r="867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  <c r="AA867" s="53"/>
      <c r="AB867" s="53"/>
      <c r="AC867" s="53"/>
      <c r="AD867" s="53"/>
      <c r="AE867" s="53"/>
      <c r="AF867" s="53"/>
      <c r="AG867" s="53"/>
      <c r="AH867" s="53"/>
      <c r="AI867" s="53"/>
    </row>
    <row r="868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  <c r="AA868" s="53"/>
      <c r="AB868" s="53"/>
      <c r="AC868" s="53"/>
      <c r="AD868" s="53"/>
      <c r="AE868" s="53"/>
      <c r="AF868" s="53"/>
      <c r="AG868" s="53"/>
      <c r="AH868" s="53"/>
      <c r="AI868" s="53"/>
    </row>
    <row r="869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  <c r="AA869" s="53"/>
      <c r="AB869" s="53"/>
      <c r="AC869" s="53"/>
      <c r="AD869" s="53"/>
      <c r="AE869" s="53"/>
      <c r="AF869" s="53"/>
      <c r="AG869" s="53"/>
      <c r="AH869" s="53"/>
      <c r="AI869" s="53"/>
    </row>
    <row r="870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  <c r="AA870" s="53"/>
      <c r="AB870" s="53"/>
      <c r="AC870" s="53"/>
      <c r="AD870" s="53"/>
      <c r="AE870" s="53"/>
      <c r="AF870" s="53"/>
      <c r="AG870" s="53"/>
      <c r="AH870" s="53"/>
      <c r="AI870" s="53"/>
    </row>
    <row r="87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  <c r="AA871" s="53"/>
      <c r="AB871" s="53"/>
      <c r="AC871" s="53"/>
      <c r="AD871" s="53"/>
      <c r="AE871" s="53"/>
      <c r="AF871" s="53"/>
      <c r="AG871" s="53"/>
      <c r="AH871" s="53"/>
      <c r="AI871" s="53"/>
    </row>
    <row r="872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  <c r="AA872" s="53"/>
      <c r="AB872" s="53"/>
      <c r="AC872" s="53"/>
      <c r="AD872" s="53"/>
      <c r="AE872" s="53"/>
      <c r="AF872" s="53"/>
      <c r="AG872" s="53"/>
      <c r="AH872" s="53"/>
      <c r="AI872" s="53"/>
    </row>
    <row r="873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  <c r="AA873" s="53"/>
      <c r="AB873" s="53"/>
      <c r="AC873" s="53"/>
      <c r="AD873" s="53"/>
      <c r="AE873" s="53"/>
      <c r="AF873" s="53"/>
      <c r="AG873" s="53"/>
      <c r="AH873" s="53"/>
      <c r="AI873" s="53"/>
    </row>
    <row r="874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  <c r="AA874" s="53"/>
      <c r="AB874" s="53"/>
      <c r="AC874" s="53"/>
      <c r="AD874" s="53"/>
      <c r="AE874" s="53"/>
      <c r="AF874" s="53"/>
      <c r="AG874" s="53"/>
      <c r="AH874" s="53"/>
      <c r="AI874" s="53"/>
    </row>
    <row r="875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  <c r="AA875" s="53"/>
      <c r="AB875" s="53"/>
      <c r="AC875" s="53"/>
      <c r="AD875" s="53"/>
      <c r="AE875" s="53"/>
      <c r="AF875" s="53"/>
      <c r="AG875" s="53"/>
      <c r="AH875" s="53"/>
      <c r="AI875" s="53"/>
    </row>
    <row r="876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  <c r="AA876" s="53"/>
      <c r="AB876" s="53"/>
      <c r="AC876" s="53"/>
      <c r="AD876" s="53"/>
      <c r="AE876" s="53"/>
      <c r="AF876" s="53"/>
      <c r="AG876" s="53"/>
      <c r="AH876" s="53"/>
      <c r="AI876" s="53"/>
    </row>
    <row r="877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  <c r="AA877" s="53"/>
      <c r="AB877" s="53"/>
      <c r="AC877" s="53"/>
      <c r="AD877" s="53"/>
      <c r="AE877" s="53"/>
      <c r="AF877" s="53"/>
      <c r="AG877" s="53"/>
      <c r="AH877" s="53"/>
      <c r="AI877" s="53"/>
    </row>
    <row r="878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  <c r="AA878" s="53"/>
      <c r="AB878" s="53"/>
      <c r="AC878" s="53"/>
      <c r="AD878" s="53"/>
      <c r="AE878" s="53"/>
      <c r="AF878" s="53"/>
      <c r="AG878" s="53"/>
      <c r="AH878" s="53"/>
      <c r="AI878" s="53"/>
    </row>
    <row r="879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  <c r="AA879" s="53"/>
      <c r="AB879" s="53"/>
      <c r="AC879" s="53"/>
      <c r="AD879" s="53"/>
      <c r="AE879" s="53"/>
      <c r="AF879" s="53"/>
      <c r="AG879" s="53"/>
      <c r="AH879" s="53"/>
      <c r="AI879" s="53"/>
    </row>
    <row r="880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  <c r="AA880" s="53"/>
      <c r="AB880" s="53"/>
      <c r="AC880" s="53"/>
      <c r="AD880" s="53"/>
      <c r="AE880" s="53"/>
      <c r="AF880" s="53"/>
      <c r="AG880" s="53"/>
      <c r="AH880" s="53"/>
      <c r="AI880" s="53"/>
    </row>
    <row r="88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  <c r="AA881" s="53"/>
      <c r="AB881" s="53"/>
      <c r="AC881" s="53"/>
      <c r="AD881" s="53"/>
      <c r="AE881" s="53"/>
      <c r="AF881" s="53"/>
      <c r="AG881" s="53"/>
      <c r="AH881" s="53"/>
      <c r="AI881" s="53"/>
    </row>
    <row r="882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  <c r="AA882" s="53"/>
      <c r="AB882" s="53"/>
      <c r="AC882" s="53"/>
      <c r="AD882" s="53"/>
      <c r="AE882" s="53"/>
      <c r="AF882" s="53"/>
      <c r="AG882" s="53"/>
      <c r="AH882" s="53"/>
      <c r="AI882" s="53"/>
    </row>
    <row r="883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  <c r="AA883" s="53"/>
      <c r="AB883" s="53"/>
      <c r="AC883" s="53"/>
      <c r="AD883" s="53"/>
      <c r="AE883" s="53"/>
      <c r="AF883" s="53"/>
      <c r="AG883" s="53"/>
      <c r="AH883" s="53"/>
      <c r="AI883" s="53"/>
    </row>
    <row r="884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  <c r="AA884" s="53"/>
      <c r="AB884" s="53"/>
      <c r="AC884" s="53"/>
      <c r="AD884" s="53"/>
      <c r="AE884" s="53"/>
      <c r="AF884" s="53"/>
      <c r="AG884" s="53"/>
      <c r="AH884" s="53"/>
      <c r="AI884" s="53"/>
    </row>
    <row r="885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  <c r="AA885" s="53"/>
      <c r="AB885" s="53"/>
      <c r="AC885" s="53"/>
      <c r="AD885" s="53"/>
      <c r="AE885" s="53"/>
      <c r="AF885" s="53"/>
      <c r="AG885" s="53"/>
      <c r="AH885" s="53"/>
      <c r="AI885" s="53"/>
    </row>
    <row r="886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  <c r="AA886" s="53"/>
      <c r="AB886" s="53"/>
      <c r="AC886" s="53"/>
      <c r="AD886" s="53"/>
      <c r="AE886" s="53"/>
      <c r="AF886" s="53"/>
      <c r="AG886" s="53"/>
      <c r="AH886" s="53"/>
      <c r="AI886" s="53"/>
    </row>
    <row r="887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  <c r="AA887" s="53"/>
      <c r="AB887" s="53"/>
      <c r="AC887" s="53"/>
      <c r="AD887" s="53"/>
      <c r="AE887" s="53"/>
      <c r="AF887" s="53"/>
      <c r="AG887" s="53"/>
      <c r="AH887" s="53"/>
      <c r="AI887" s="53"/>
    </row>
    <row r="888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  <c r="AA888" s="53"/>
      <c r="AB888" s="53"/>
      <c r="AC888" s="53"/>
      <c r="AD888" s="53"/>
      <c r="AE888" s="53"/>
      <c r="AF888" s="53"/>
      <c r="AG888" s="53"/>
      <c r="AH888" s="53"/>
      <c r="AI888" s="53"/>
    </row>
    <row r="889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  <c r="AA889" s="53"/>
      <c r="AB889" s="53"/>
      <c r="AC889" s="53"/>
      <c r="AD889" s="53"/>
      <c r="AE889" s="53"/>
      <c r="AF889" s="53"/>
      <c r="AG889" s="53"/>
      <c r="AH889" s="53"/>
      <c r="AI889" s="53"/>
    </row>
    <row r="890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  <c r="AA890" s="53"/>
      <c r="AB890" s="53"/>
      <c r="AC890" s="53"/>
      <c r="AD890" s="53"/>
      <c r="AE890" s="53"/>
      <c r="AF890" s="53"/>
      <c r="AG890" s="53"/>
      <c r="AH890" s="53"/>
      <c r="AI890" s="53"/>
    </row>
    <row r="89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  <c r="AA891" s="53"/>
      <c r="AB891" s="53"/>
      <c r="AC891" s="53"/>
      <c r="AD891" s="53"/>
      <c r="AE891" s="53"/>
      <c r="AF891" s="53"/>
      <c r="AG891" s="53"/>
      <c r="AH891" s="53"/>
      <c r="AI891" s="53"/>
    </row>
    <row r="892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  <c r="AA892" s="53"/>
      <c r="AB892" s="53"/>
      <c r="AC892" s="53"/>
      <c r="AD892" s="53"/>
      <c r="AE892" s="53"/>
      <c r="AF892" s="53"/>
      <c r="AG892" s="53"/>
      <c r="AH892" s="53"/>
      <c r="AI892" s="53"/>
    </row>
    <row r="893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  <c r="AA893" s="53"/>
      <c r="AB893" s="53"/>
      <c r="AC893" s="53"/>
      <c r="AD893" s="53"/>
      <c r="AE893" s="53"/>
      <c r="AF893" s="53"/>
      <c r="AG893" s="53"/>
      <c r="AH893" s="53"/>
      <c r="AI893" s="53"/>
    </row>
    <row r="894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  <c r="AA894" s="53"/>
      <c r="AB894" s="53"/>
      <c r="AC894" s="53"/>
      <c r="AD894" s="53"/>
      <c r="AE894" s="53"/>
      <c r="AF894" s="53"/>
      <c r="AG894" s="53"/>
      <c r="AH894" s="53"/>
      <c r="AI894" s="53"/>
    </row>
    <row r="895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  <c r="AA895" s="53"/>
      <c r="AB895" s="53"/>
      <c r="AC895" s="53"/>
      <c r="AD895" s="53"/>
      <c r="AE895" s="53"/>
      <c r="AF895" s="53"/>
      <c r="AG895" s="53"/>
      <c r="AH895" s="53"/>
      <c r="AI895" s="53"/>
    </row>
    <row r="896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  <c r="AA896" s="53"/>
      <c r="AB896" s="53"/>
      <c r="AC896" s="53"/>
      <c r="AD896" s="53"/>
      <c r="AE896" s="53"/>
      <c r="AF896" s="53"/>
      <c r="AG896" s="53"/>
      <c r="AH896" s="53"/>
      <c r="AI896" s="53"/>
    </row>
    <row r="897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  <c r="AA897" s="53"/>
      <c r="AB897" s="53"/>
      <c r="AC897" s="53"/>
      <c r="AD897" s="53"/>
      <c r="AE897" s="53"/>
      <c r="AF897" s="53"/>
      <c r="AG897" s="53"/>
      <c r="AH897" s="53"/>
      <c r="AI897" s="53"/>
    </row>
    <row r="898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  <c r="AA898" s="53"/>
      <c r="AB898" s="53"/>
      <c r="AC898" s="53"/>
      <c r="AD898" s="53"/>
      <c r="AE898" s="53"/>
      <c r="AF898" s="53"/>
      <c r="AG898" s="53"/>
      <c r="AH898" s="53"/>
      <c r="AI898" s="53"/>
    </row>
    <row r="899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  <c r="AA899" s="53"/>
      <c r="AB899" s="53"/>
      <c r="AC899" s="53"/>
      <c r="AD899" s="53"/>
      <c r="AE899" s="53"/>
      <c r="AF899" s="53"/>
      <c r="AG899" s="53"/>
      <c r="AH899" s="53"/>
      <c r="AI899" s="53"/>
    </row>
    <row r="900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  <c r="AA900" s="53"/>
      <c r="AB900" s="53"/>
      <c r="AC900" s="53"/>
      <c r="AD900" s="53"/>
      <c r="AE900" s="53"/>
      <c r="AF900" s="53"/>
      <c r="AG900" s="53"/>
      <c r="AH900" s="53"/>
      <c r="AI900" s="53"/>
    </row>
    <row r="90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  <c r="AA901" s="53"/>
      <c r="AB901" s="53"/>
      <c r="AC901" s="53"/>
      <c r="AD901" s="53"/>
      <c r="AE901" s="53"/>
      <c r="AF901" s="53"/>
      <c r="AG901" s="53"/>
      <c r="AH901" s="53"/>
      <c r="AI901" s="53"/>
    </row>
    <row r="902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  <c r="AA902" s="53"/>
      <c r="AB902" s="53"/>
      <c r="AC902" s="53"/>
      <c r="AD902" s="53"/>
      <c r="AE902" s="53"/>
      <c r="AF902" s="53"/>
      <c r="AG902" s="53"/>
      <c r="AH902" s="53"/>
      <c r="AI902" s="53"/>
    </row>
    <row r="903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  <c r="AA903" s="53"/>
      <c r="AB903" s="53"/>
      <c r="AC903" s="53"/>
      <c r="AD903" s="53"/>
      <c r="AE903" s="53"/>
      <c r="AF903" s="53"/>
      <c r="AG903" s="53"/>
      <c r="AH903" s="53"/>
      <c r="AI903" s="53"/>
    </row>
    <row r="904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  <c r="AA904" s="53"/>
      <c r="AB904" s="53"/>
      <c r="AC904" s="53"/>
      <c r="AD904" s="53"/>
      <c r="AE904" s="53"/>
      <c r="AF904" s="53"/>
      <c r="AG904" s="53"/>
      <c r="AH904" s="53"/>
      <c r="AI904" s="53"/>
    </row>
    <row r="905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  <c r="AA905" s="53"/>
      <c r="AB905" s="53"/>
      <c r="AC905" s="53"/>
      <c r="AD905" s="53"/>
      <c r="AE905" s="53"/>
      <c r="AF905" s="53"/>
      <c r="AG905" s="53"/>
      <c r="AH905" s="53"/>
      <c r="AI905" s="53"/>
    </row>
    <row r="906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  <c r="AA906" s="53"/>
      <c r="AB906" s="53"/>
      <c r="AC906" s="53"/>
      <c r="AD906" s="53"/>
      <c r="AE906" s="53"/>
      <c r="AF906" s="53"/>
      <c r="AG906" s="53"/>
      <c r="AH906" s="53"/>
      <c r="AI906" s="53"/>
    </row>
    <row r="907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  <c r="AA907" s="53"/>
      <c r="AB907" s="53"/>
      <c r="AC907" s="53"/>
      <c r="AD907" s="53"/>
      <c r="AE907" s="53"/>
      <c r="AF907" s="53"/>
      <c r="AG907" s="53"/>
      <c r="AH907" s="53"/>
      <c r="AI907" s="53"/>
    </row>
    <row r="908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  <c r="AA908" s="53"/>
      <c r="AB908" s="53"/>
      <c r="AC908" s="53"/>
      <c r="AD908" s="53"/>
      <c r="AE908" s="53"/>
      <c r="AF908" s="53"/>
      <c r="AG908" s="53"/>
      <c r="AH908" s="53"/>
      <c r="AI908" s="53"/>
    </row>
    <row r="909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  <c r="AA909" s="53"/>
      <c r="AB909" s="53"/>
      <c r="AC909" s="53"/>
      <c r="AD909" s="53"/>
      <c r="AE909" s="53"/>
      <c r="AF909" s="53"/>
      <c r="AG909" s="53"/>
      <c r="AH909" s="53"/>
      <c r="AI909" s="53"/>
    </row>
    <row r="910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  <c r="AA910" s="53"/>
      <c r="AB910" s="53"/>
      <c r="AC910" s="53"/>
      <c r="AD910" s="53"/>
      <c r="AE910" s="53"/>
      <c r="AF910" s="53"/>
      <c r="AG910" s="53"/>
      <c r="AH910" s="53"/>
      <c r="AI910" s="53"/>
    </row>
    <row r="91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  <c r="AA911" s="53"/>
      <c r="AB911" s="53"/>
      <c r="AC911" s="53"/>
      <c r="AD911" s="53"/>
      <c r="AE911" s="53"/>
      <c r="AF911" s="53"/>
      <c r="AG911" s="53"/>
      <c r="AH911" s="53"/>
      <c r="AI911" s="53"/>
    </row>
    <row r="912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  <c r="AA912" s="53"/>
      <c r="AB912" s="53"/>
      <c r="AC912" s="53"/>
      <c r="AD912" s="53"/>
      <c r="AE912" s="53"/>
      <c r="AF912" s="53"/>
      <c r="AG912" s="53"/>
      <c r="AH912" s="53"/>
      <c r="AI912" s="53"/>
    </row>
    <row r="913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  <c r="AA913" s="53"/>
      <c r="AB913" s="53"/>
      <c r="AC913" s="53"/>
      <c r="AD913" s="53"/>
      <c r="AE913" s="53"/>
      <c r="AF913" s="53"/>
      <c r="AG913" s="53"/>
      <c r="AH913" s="53"/>
      <c r="AI913" s="53"/>
    </row>
    <row r="914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  <c r="AA914" s="53"/>
      <c r="AB914" s="53"/>
      <c r="AC914" s="53"/>
      <c r="AD914" s="53"/>
      <c r="AE914" s="53"/>
      <c r="AF914" s="53"/>
      <c r="AG914" s="53"/>
      <c r="AH914" s="53"/>
      <c r="AI914" s="53"/>
    </row>
    <row r="915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  <c r="AA915" s="53"/>
      <c r="AB915" s="53"/>
      <c r="AC915" s="53"/>
      <c r="AD915" s="53"/>
      <c r="AE915" s="53"/>
      <c r="AF915" s="53"/>
      <c r="AG915" s="53"/>
      <c r="AH915" s="53"/>
      <c r="AI915" s="53"/>
    </row>
    <row r="916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  <c r="AA916" s="53"/>
      <c r="AB916" s="53"/>
      <c r="AC916" s="53"/>
      <c r="AD916" s="53"/>
      <c r="AE916" s="53"/>
      <c r="AF916" s="53"/>
      <c r="AG916" s="53"/>
      <c r="AH916" s="53"/>
      <c r="AI916" s="53"/>
    </row>
    <row r="917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  <c r="AA917" s="53"/>
      <c r="AB917" s="53"/>
      <c r="AC917" s="53"/>
      <c r="AD917" s="53"/>
      <c r="AE917" s="53"/>
      <c r="AF917" s="53"/>
      <c r="AG917" s="53"/>
      <c r="AH917" s="53"/>
      <c r="AI917" s="53"/>
    </row>
    <row r="918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  <c r="AA918" s="53"/>
      <c r="AB918" s="53"/>
      <c r="AC918" s="53"/>
      <c r="AD918" s="53"/>
      <c r="AE918" s="53"/>
      <c r="AF918" s="53"/>
      <c r="AG918" s="53"/>
      <c r="AH918" s="53"/>
      <c r="AI918" s="53"/>
    </row>
    <row r="919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  <c r="AA919" s="53"/>
      <c r="AB919" s="53"/>
      <c r="AC919" s="53"/>
      <c r="AD919" s="53"/>
      <c r="AE919" s="53"/>
      <c r="AF919" s="53"/>
      <c r="AG919" s="53"/>
      <c r="AH919" s="53"/>
      <c r="AI919" s="53"/>
    </row>
    <row r="920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  <c r="AA920" s="53"/>
      <c r="AB920" s="53"/>
      <c r="AC920" s="53"/>
      <c r="AD920" s="53"/>
      <c r="AE920" s="53"/>
      <c r="AF920" s="53"/>
      <c r="AG920" s="53"/>
      <c r="AH920" s="53"/>
      <c r="AI920" s="53"/>
    </row>
    <row r="92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  <c r="AA921" s="53"/>
      <c r="AB921" s="53"/>
      <c r="AC921" s="53"/>
      <c r="AD921" s="53"/>
      <c r="AE921" s="53"/>
      <c r="AF921" s="53"/>
      <c r="AG921" s="53"/>
      <c r="AH921" s="53"/>
      <c r="AI921" s="53"/>
    </row>
    <row r="922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  <c r="AA922" s="53"/>
      <c r="AB922" s="53"/>
      <c r="AC922" s="53"/>
      <c r="AD922" s="53"/>
      <c r="AE922" s="53"/>
      <c r="AF922" s="53"/>
      <c r="AG922" s="53"/>
      <c r="AH922" s="53"/>
      <c r="AI922" s="53"/>
    </row>
    <row r="923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  <c r="AA923" s="53"/>
      <c r="AB923" s="53"/>
      <c r="AC923" s="53"/>
      <c r="AD923" s="53"/>
      <c r="AE923" s="53"/>
      <c r="AF923" s="53"/>
      <c r="AG923" s="53"/>
      <c r="AH923" s="53"/>
      <c r="AI923" s="53"/>
    </row>
    <row r="924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  <c r="AA924" s="53"/>
      <c r="AB924" s="53"/>
      <c r="AC924" s="53"/>
      <c r="AD924" s="53"/>
      <c r="AE924" s="53"/>
      <c r="AF924" s="53"/>
      <c r="AG924" s="53"/>
      <c r="AH924" s="53"/>
      <c r="AI924" s="53"/>
    </row>
    <row r="925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  <c r="AA925" s="53"/>
      <c r="AB925" s="53"/>
      <c r="AC925" s="53"/>
      <c r="AD925" s="53"/>
      <c r="AE925" s="53"/>
      <c r="AF925" s="53"/>
      <c r="AG925" s="53"/>
      <c r="AH925" s="53"/>
      <c r="AI925" s="53"/>
    </row>
    <row r="926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  <c r="AA926" s="53"/>
      <c r="AB926" s="53"/>
      <c r="AC926" s="53"/>
      <c r="AD926" s="53"/>
      <c r="AE926" s="53"/>
      <c r="AF926" s="53"/>
      <c r="AG926" s="53"/>
      <c r="AH926" s="53"/>
      <c r="AI926" s="53"/>
    </row>
    <row r="927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  <c r="AA927" s="53"/>
      <c r="AB927" s="53"/>
      <c r="AC927" s="53"/>
      <c r="AD927" s="53"/>
      <c r="AE927" s="53"/>
      <c r="AF927" s="53"/>
      <c r="AG927" s="53"/>
      <c r="AH927" s="53"/>
      <c r="AI927" s="53"/>
    </row>
    <row r="928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  <c r="AA928" s="53"/>
      <c r="AB928" s="53"/>
      <c r="AC928" s="53"/>
      <c r="AD928" s="53"/>
      <c r="AE928" s="53"/>
      <c r="AF928" s="53"/>
      <c r="AG928" s="53"/>
      <c r="AH928" s="53"/>
      <c r="AI928" s="53"/>
    </row>
    <row r="929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  <c r="AA929" s="53"/>
      <c r="AB929" s="53"/>
      <c r="AC929" s="53"/>
      <c r="AD929" s="53"/>
      <c r="AE929" s="53"/>
      <c r="AF929" s="53"/>
      <c r="AG929" s="53"/>
      <c r="AH929" s="53"/>
      <c r="AI929" s="53"/>
    </row>
    <row r="930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  <c r="AA930" s="53"/>
      <c r="AB930" s="53"/>
      <c r="AC930" s="53"/>
      <c r="AD930" s="53"/>
      <c r="AE930" s="53"/>
      <c r="AF930" s="53"/>
      <c r="AG930" s="53"/>
      <c r="AH930" s="53"/>
      <c r="AI930" s="53"/>
    </row>
    <row r="93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  <c r="AA931" s="53"/>
      <c r="AB931" s="53"/>
      <c r="AC931" s="53"/>
      <c r="AD931" s="53"/>
      <c r="AE931" s="53"/>
      <c r="AF931" s="53"/>
      <c r="AG931" s="53"/>
      <c r="AH931" s="53"/>
      <c r="AI931" s="53"/>
    </row>
    <row r="932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  <c r="AA932" s="53"/>
      <c r="AB932" s="53"/>
      <c r="AC932" s="53"/>
      <c r="AD932" s="53"/>
      <c r="AE932" s="53"/>
      <c r="AF932" s="53"/>
      <c r="AG932" s="53"/>
      <c r="AH932" s="53"/>
      <c r="AI932" s="53"/>
    </row>
    <row r="933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  <c r="AA933" s="53"/>
      <c r="AB933" s="53"/>
      <c r="AC933" s="53"/>
      <c r="AD933" s="53"/>
      <c r="AE933" s="53"/>
      <c r="AF933" s="53"/>
      <c r="AG933" s="53"/>
      <c r="AH933" s="53"/>
      <c r="AI933" s="53"/>
    </row>
    <row r="934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  <c r="AA934" s="53"/>
      <c r="AB934" s="53"/>
      <c r="AC934" s="53"/>
      <c r="AD934" s="53"/>
      <c r="AE934" s="53"/>
      <c r="AF934" s="53"/>
      <c r="AG934" s="53"/>
      <c r="AH934" s="53"/>
      <c r="AI934" s="53"/>
    </row>
    <row r="935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  <c r="AA935" s="53"/>
      <c r="AB935" s="53"/>
      <c r="AC935" s="53"/>
      <c r="AD935" s="53"/>
      <c r="AE935" s="53"/>
      <c r="AF935" s="53"/>
      <c r="AG935" s="53"/>
      <c r="AH935" s="53"/>
      <c r="AI935" s="53"/>
    </row>
  </sheetData>
  <mergeCells count="1">
    <mergeCell ref="G1:J1"/>
  </mergeCells>
  <dataValidations>
    <dataValidation type="list" allowBlank="1" sqref="E2:E4 E5:F5 E6:E9 E10:F10 E11:E12 E13:F13 E14:E22">
      <formula1>"Asistencia técnica, incubación y fortalecimiento de capacidades,Innovación tecnológica, digitalización y productividad,Formalización, certificación, acceso a mercados e internacionalización,Articulación de cadenas, asociatividad e infraestructura producti"&amp;"va,Sostenibilidad, transición verde y economía circular, Financiamiento y crédito productivo"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25"/>
    <col customWidth="1" min="2" max="2" width="21.13"/>
    <col customWidth="1" min="3" max="4" width="31.25"/>
    <col customWidth="1" min="5" max="6" width="46.63"/>
  </cols>
  <sheetData>
    <row r="1">
      <c r="A1" s="15" t="s">
        <v>50</v>
      </c>
      <c r="B1" s="15" t="s">
        <v>51</v>
      </c>
      <c r="C1" s="15" t="s">
        <v>13</v>
      </c>
      <c r="D1" s="15" t="s">
        <v>52</v>
      </c>
      <c r="E1" s="15" t="s">
        <v>53</v>
      </c>
      <c r="F1" s="16" t="s">
        <v>54</v>
      </c>
    </row>
    <row r="2">
      <c r="A2" s="17" t="s">
        <v>33</v>
      </c>
      <c r="B2" s="17" t="s">
        <v>55</v>
      </c>
      <c r="C2" s="17" t="s">
        <v>57</v>
      </c>
      <c r="D2" s="17" t="s">
        <v>58</v>
      </c>
      <c r="E2" s="17" t="s">
        <v>59</v>
      </c>
      <c r="F2" s="18"/>
    </row>
    <row r="3">
      <c r="C3" s="17" t="s">
        <v>61</v>
      </c>
      <c r="D3" s="17" t="s">
        <v>62</v>
      </c>
      <c r="E3" s="17" t="s">
        <v>63</v>
      </c>
      <c r="F3" s="18"/>
    </row>
    <row r="4">
      <c r="C4" s="17" t="s">
        <v>33</v>
      </c>
      <c r="D4" s="17" t="s">
        <v>64</v>
      </c>
      <c r="E4" s="17" t="s">
        <v>65</v>
      </c>
      <c r="F4" s="18"/>
    </row>
    <row r="5">
      <c r="A5" s="17" t="s">
        <v>33</v>
      </c>
      <c r="B5" s="17" t="s">
        <v>69</v>
      </c>
      <c r="C5" s="17" t="s">
        <v>70</v>
      </c>
      <c r="D5" s="17" t="s">
        <v>71</v>
      </c>
      <c r="E5" s="17" t="s">
        <v>72</v>
      </c>
      <c r="F5" s="18"/>
    </row>
    <row r="6">
      <c r="C6" s="17" t="s">
        <v>74</v>
      </c>
      <c r="D6" s="17" t="s">
        <v>75</v>
      </c>
      <c r="E6" s="17" t="s">
        <v>77</v>
      </c>
      <c r="F6" s="18"/>
    </row>
    <row r="7">
      <c r="C7" s="17" t="s">
        <v>78</v>
      </c>
      <c r="D7" s="17" t="s">
        <v>79</v>
      </c>
      <c r="E7" s="17" t="s">
        <v>80</v>
      </c>
      <c r="F7" s="18"/>
    </row>
    <row r="8">
      <c r="A8" s="17" t="s">
        <v>33</v>
      </c>
      <c r="B8" s="17" t="s">
        <v>81</v>
      </c>
      <c r="C8" s="17" t="s">
        <v>70</v>
      </c>
      <c r="D8" s="17" t="s">
        <v>83</v>
      </c>
      <c r="E8" s="17" t="s">
        <v>86</v>
      </c>
      <c r="F8" s="18"/>
    </row>
    <row r="9">
      <c r="C9" s="17" t="s">
        <v>74</v>
      </c>
      <c r="D9" s="17" t="s">
        <v>87</v>
      </c>
      <c r="E9" s="17" t="s">
        <v>88</v>
      </c>
      <c r="F9" s="18"/>
    </row>
    <row r="10">
      <c r="C10" s="17" t="s">
        <v>92</v>
      </c>
      <c r="D10" s="17" t="s">
        <v>93</v>
      </c>
      <c r="E10" s="17" t="s">
        <v>94</v>
      </c>
      <c r="F10" s="18"/>
    </row>
    <row r="11">
      <c r="A11" s="17" t="s">
        <v>33</v>
      </c>
      <c r="B11" s="17" t="s">
        <v>100</v>
      </c>
      <c r="C11" s="17" t="s">
        <v>61</v>
      </c>
      <c r="D11" s="17" t="s">
        <v>104</v>
      </c>
      <c r="E11" s="17" t="s">
        <v>105</v>
      </c>
      <c r="F11" s="18"/>
    </row>
    <row r="12">
      <c r="C12" s="17" t="s">
        <v>61</v>
      </c>
      <c r="D12" s="17" t="s">
        <v>107</v>
      </c>
      <c r="E12" s="17" t="s">
        <v>108</v>
      </c>
      <c r="F12" s="18"/>
    </row>
    <row r="13">
      <c r="A13" s="26" t="s">
        <v>33</v>
      </c>
      <c r="B13" s="26" t="s">
        <v>109</v>
      </c>
      <c r="C13" s="17" t="s">
        <v>57</v>
      </c>
      <c r="D13" s="17" t="s">
        <v>110</v>
      </c>
      <c r="E13" s="17" t="s">
        <v>112</v>
      </c>
      <c r="F13" s="18"/>
    </row>
    <row r="14">
      <c r="C14" s="17" t="s">
        <v>116</v>
      </c>
      <c r="D14" s="17" t="s">
        <v>118</v>
      </c>
      <c r="E14" s="17" t="s">
        <v>119</v>
      </c>
      <c r="F14" s="18"/>
    </row>
    <row r="15">
      <c r="A15" s="17" t="s">
        <v>33</v>
      </c>
      <c r="B15" s="17" t="s">
        <v>122</v>
      </c>
      <c r="C15" s="17" t="s">
        <v>74</v>
      </c>
      <c r="D15" s="17" t="s">
        <v>124</v>
      </c>
      <c r="E15" s="17" t="s">
        <v>125</v>
      </c>
      <c r="F15" s="18"/>
    </row>
    <row r="16">
      <c r="C16" s="17" t="s">
        <v>92</v>
      </c>
      <c r="D16" s="17" t="s">
        <v>127</v>
      </c>
      <c r="E16" s="17" t="s">
        <v>128</v>
      </c>
      <c r="F16" s="18"/>
    </row>
    <row r="17">
      <c r="A17" s="17" t="s">
        <v>33</v>
      </c>
      <c r="B17" s="17" t="s">
        <v>130</v>
      </c>
      <c r="C17" s="17" t="s">
        <v>117</v>
      </c>
      <c r="D17" s="17" t="s">
        <v>131</v>
      </c>
      <c r="E17" s="17" t="s">
        <v>132</v>
      </c>
      <c r="F17" s="18"/>
    </row>
    <row r="18">
      <c r="A18" s="17" t="s">
        <v>33</v>
      </c>
      <c r="B18" s="17" t="s">
        <v>133</v>
      </c>
      <c r="C18" s="17" t="s">
        <v>136</v>
      </c>
      <c r="D18" s="17" t="s">
        <v>138</v>
      </c>
      <c r="E18" s="17" t="s">
        <v>139</v>
      </c>
      <c r="F18" s="18"/>
    </row>
    <row r="19">
      <c r="A19" s="26" t="s">
        <v>33</v>
      </c>
      <c r="B19" s="26" t="s">
        <v>143</v>
      </c>
      <c r="C19" s="17" t="s">
        <v>145</v>
      </c>
      <c r="D19" s="17" t="s">
        <v>147</v>
      </c>
      <c r="E19" s="17" t="s">
        <v>148</v>
      </c>
      <c r="F19" s="18"/>
    </row>
    <row r="20">
      <c r="A20" s="17" t="s">
        <v>33</v>
      </c>
      <c r="B20" s="17" t="s">
        <v>152</v>
      </c>
      <c r="C20" s="17" t="s">
        <v>145</v>
      </c>
      <c r="D20" s="17" t="s">
        <v>156</v>
      </c>
      <c r="E20" s="17" t="s">
        <v>158</v>
      </c>
      <c r="F20" s="18"/>
    </row>
    <row r="21">
      <c r="A21" s="26" t="s">
        <v>33</v>
      </c>
      <c r="B21" s="26" t="s">
        <v>163</v>
      </c>
      <c r="C21" s="17" t="s">
        <v>145</v>
      </c>
      <c r="D21" s="17" t="s">
        <v>166</v>
      </c>
      <c r="E21" s="17" t="s">
        <v>168</v>
      </c>
      <c r="F21" s="18"/>
    </row>
    <row r="22">
      <c r="A22" s="17" t="s">
        <v>33</v>
      </c>
      <c r="B22" s="17" t="s">
        <v>170</v>
      </c>
      <c r="C22" s="17" t="s">
        <v>74</v>
      </c>
      <c r="D22" s="17" t="s">
        <v>174</v>
      </c>
      <c r="E22" s="17" t="s">
        <v>175</v>
      </c>
      <c r="F22" s="18"/>
    </row>
    <row r="23">
      <c r="A23" s="26" t="s">
        <v>179</v>
      </c>
      <c r="B23" s="26" t="s">
        <v>182</v>
      </c>
      <c r="C23" s="17" t="s">
        <v>184</v>
      </c>
      <c r="D23" s="17" t="s">
        <v>185</v>
      </c>
      <c r="E23" s="17" t="s">
        <v>186</v>
      </c>
      <c r="F23" s="18"/>
    </row>
    <row r="24">
      <c r="C24" s="17" t="s">
        <v>70</v>
      </c>
      <c r="D24" s="17" t="s">
        <v>187</v>
      </c>
      <c r="E24" s="17" t="s">
        <v>188</v>
      </c>
      <c r="F24" s="18"/>
    </row>
    <row r="25">
      <c r="C25" s="17" t="s">
        <v>70</v>
      </c>
      <c r="D25" s="17" t="s">
        <v>191</v>
      </c>
      <c r="E25" s="17" t="s">
        <v>194</v>
      </c>
      <c r="F25" s="18"/>
    </row>
    <row r="26">
      <c r="A26" s="17" t="s">
        <v>179</v>
      </c>
      <c r="B26" s="17" t="s">
        <v>197</v>
      </c>
      <c r="C26" s="17" t="s">
        <v>33</v>
      </c>
      <c r="D26" s="17" t="s">
        <v>201</v>
      </c>
      <c r="E26" s="17" t="s">
        <v>202</v>
      </c>
      <c r="F26" s="18"/>
    </row>
    <row r="27">
      <c r="C27" s="17" t="s">
        <v>205</v>
      </c>
      <c r="D27" s="17" t="s">
        <v>206</v>
      </c>
      <c r="E27" s="17" t="s">
        <v>207</v>
      </c>
      <c r="F27" s="18"/>
    </row>
    <row r="28">
      <c r="C28" s="17" t="s">
        <v>33</v>
      </c>
      <c r="D28" s="17" t="s">
        <v>208</v>
      </c>
      <c r="E28" s="17" t="s">
        <v>210</v>
      </c>
      <c r="F28" s="18"/>
    </row>
    <row r="29">
      <c r="A29" s="26" t="s">
        <v>179</v>
      </c>
      <c r="B29" s="26" t="s">
        <v>215</v>
      </c>
      <c r="C29" s="17" t="s">
        <v>117</v>
      </c>
      <c r="D29" s="17" t="s">
        <v>218</v>
      </c>
      <c r="E29" s="17" t="s">
        <v>219</v>
      </c>
      <c r="F29" s="18"/>
    </row>
    <row r="30">
      <c r="C30" s="17" t="s">
        <v>117</v>
      </c>
      <c r="D30" s="17" t="s">
        <v>223</v>
      </c>
      <c r="E30" s="17" t="s">
        <v>225</v>
      </c>
      <c r="F30" s="18"/>
    </row>
    <row r="31">
      <c r="C31" s="17" t="s">
        <v>227</v>
      </c>
      <c r="D31" s="17" t="s">
        <v>228</v>
      </c>
      <c r="E31" s="17" t="s">
        <v>229</v>
      </c>
      <c r="F31" s="18"/>
    </row>
    <row r="32">
      <c r="A32" s="17" t="s">
        <v>179</v>
      </c>
      <c r="B32" s="17" t="s">
        <v>234</v>
      </c>
      <c r="C32" s="17" t="s">
        <v>205</v>
      </c>
      <c r="D32" s="17" t="s">
        <v>237</v>
      </c>
      <c r="E32" s="17" t="s">
        <v>239</v>
      </c>
      <c r="F32" s="18"/>
    </row>
    <row r="33">
      <c r="C33" s="17" t="s">
        <v>117</v>
      </c>
      <c r="D33" s="17" t="s">
        <v>241</v>
      </c>
      <c r="E33" s="17" t="s">
        <v>242</v>
      </c>
      <c r="F33" s="18"/>
    </row>
    <row r="34">
      <c r="A34" s="17" t="s">
        <v>179</v>
      </c>
      <c r="B34" s="17" t="s">
        <v>243</v>
      </c>
      <c r="C34" s="17" t="s">
        <v>184</v>
      </c>
      <c r="D34" s="17" t="s">
        <v>245</v>
      </c>
      <c r="E34" s="17" t="s">
        <v>248</v>
      </c>
      <c r="F34" s="18"/>
    </row>
    <row r="35">
      <c r="C35" s="17" t="s">
        <v>227</v>
      </c>
      <c r="D35" s="17" t="s">
        <v>253</v>
      </c>
      <c r="E35" s="17" t="s">
        <v>254</v>
      </c>
      <c r="F35" s="18"/>
    </row>
    <row r="36">
      <c r="A36" s="17" t="s">
        <v>179</v>
      </c>
      <c r="B36" s="17" t="s">
        <v>258</v>
      </c>
      <c r="C36" s="17" t="s">
        <v>259</v>
      </c>
      <c r="D36" s="17" t="s">
        <v>260</v>
      </c>
      <c r="E36" s="17" t="s">
        <v>261</v>
      </c>
      <c r="F36" s="18"/>
    </row>
    <row r="37">
      <c r="C37" s="17" t="s">
        <v>259</v>
      </c>
      <c r="D37" s="17" t="s">
        <v>266</v>
      </c>
      <c r="E37" s="17" t="s">
        <v>269</v>
      </c>
      <c r="F37" s="18"/>
    </row>
    <row r="38">
      <c r="A38" s="17" t="s">
        <v>179</v>
      </c>
      <c r="B38" s="17" t="s">
        <v>272</v>
      </c>
      <c r="C38" s="17" t="s">
        <v>205</v>
      </c>
      <c r="D38" s="17" t="s">
        <v>274</v>
      </c>
      <c r="E38" s="17" t="s">
        <v>275</v>
      </c>
      <c r="F38" s="18"/>
    </row>
    <row r="39">
      <c r="C39" s="17" t="s">
        <v>227</v>
      </c>
      <c r="D39" s="17" t="s">
        <v>277</v>
      </c>
      <c r="E39" s="17" t="s">
        <v>280</v>
      </c>
      <c r="F39" s="18"/>
    </row>
    <row r="40">
      <c r="A40" s="17" t="s">
        <v>179</v>
      </c>
      <c r="B40" s="17" t="s">
        <v>285</v>
      </c>
      <c r="C40" s="17" t="s">
        <v>205</v>
      </c>
      <c r="D40" s="17" t="s">
        <v>286</v>
      </c>
      <c r="E40" s="17" t="s">
        <v>287</v>
      </c>
      <c r="F40" s="18"/>
    </row>
    <row r="41">
      <c r="A41" s="26" t="s">
        <v>179</v>
      </c>
      <c r="B41" s="26" t="s">
        <v>292</v>
      </c>
      <c r="C41" s="17" t="s">
        <v>117</v>
      </c>
      <c r="D41" s="17" t="s">
        <v>294</v>
      </c>
      <c r="E41" s="17" t="s">
        <v>296</v>
      </c>
      <c r="F41" s="18"/>
    </row>
    <row r="42">
      <c r="A42" s="17" t="s">
        <v>179</v>
      </c>
      <c r="B42" s="17" t="s">
        <v>301</v>
      </c>
      <c r="C42" s="17" t="s">
        <v>193</v>
      </c>
      <c r="D42" s="17" t="s">
        <v>304</v>
      </c>
      <c r="E42" s="17" t="s">
        <v>306</v>
      </c>
      <c r="F42" s="18"/>
    </row>
    <row r="43">
      <c r="A43" s="26" t="s">
        <v>179</v>
      </c>
      <c r="B43" s="26" t="s">
        <v>307</v>
      </c>
      <c r="C43" s="17" t="s">
        <v>205</v>
      </c>
      <c r="D43" s="17" t="s">
        <v>308</v>
      </c>
      <c r="E43" s="17" t="s">
        <v>309</v>
      </c>
      <c r="F43" s="18"/>
    </row>
    <row r="44">
      <c r="A44" s="17" t="s">
        <v>179</v>
      </c>
      <c r="B44" s="17" t="s">
        <v>312</v>
      </c>
      <c r="C44" s="17" t="s">
        <v>116</v>
      </c>
      <c r="D44" s="17" t="s">
        <v>315</v>
      </c>
      <c r="E44" s="17" t="s">
        <v>317</v>
      </c>
      <c r="F44" s="18"/>
    </row>
    <row r="45">
      <c r="A45" s="26" t="s">
        <v>149</v>
      </c>
      <c r="B45" s="26" t="s">
        <v>332</v>
      </c>
      <c r="C45" s="17" t="s">
        <v>193</v>
      </c>
      <c r="D45" s="17" t="s">
        <v>333</v>
      </c>
      <c r="E45" s="17" t="s">
        <v>334</v>
      </c>
      <c r="F45" s="18"/>
    </row>
    <row r="46">
      <c r="C46" s="17" t="s">
        <v>193</v>
      </c>
      <c r="D46" s="17" t="s">
        <v>338</v>
      </c>
      <c r="E46" s="17" t="s">
        <v>340</v>
      </c>
      <c r="F46" s="18"/>
    </row>
    <row r="47">
      <c r="A47" s="26" t="s">
        <v>149</v>
      </c>
      <c r="B47" s="26" t="s">
        <v>345</v>
      </c>
      <c r="C47" s="17" t="s">
        <v>78</v>
      </c>
      <c r="D47" s="17" t="s">
        <v>349</v>
      </c>
      <c r="E47" s="17" t="s">
        <v>350</v>
      </c>
      <c r="F47" s="18"/>
    </row>
    <row r="48">
      <c r="C48" s="17" t="s">
        <v>193</v>
      </c>
      <c r="D48" s="17" t="s">
        <v>354</v>
      </c>
      <c r="E48" s="17" t="s">
        <v>356</v>
      </c>
      <c r="F48" s="18"/>
    </row>
    <row r="49">
      <c r="A49" s="26" t="s">
        <v>149</v>
      </c>
      <c r="B49" s="26" t="s">
        <v>361</v>
      </c>
      <c r="C49" s="17" t="s">
        <v>193</v>
      </c>
      <c r="D49" s="17" t="s">
        <v>363</v>
      </c>
      <c r="E49" s="17" t="s">
        <v>364</v>
      </c>
      <c r="F49" s="18"/>
    </row>
    <row r="50">
      <c r="C50" s="17" t="s">
        <v>193</v>
      </c>
      <c r="D50" s="17" t="s">
        <v>365</v>
      </c>
      <c r="E50" s="17" t="s">
        <v>366</v>
      </c>
      <c r="F50" s="18"/>
    </row>
    <row r="51">
      <c r="A51" s="26" t="s">
        <v>149</v>
      </c>
      <c r="B51" s="26" t="s">
        <v>371</v>
      </c>
      <c r="C51" s="17" t="s">
        <v>78</v>
      </c>
      <c r="D51" s="17" t="s">
        <v>375</v>
      </c>
      <c r="E51" s="17" t="s">
        <v>376</v>
      </c>
      <c r="F51" s="18"/>
    </row>
    <row r="52">
      <c r="C52" s="17" t="s">
        <v>78</v>
      </c>
      <c r="D52" s="17" t="s">
        <v>380</v>
      </c>
      <c r="E52" s="17" t="s">
        <v>381</v>
      </c>
      <c r="F52" s="18"/>
    </row>
    <row r="53">
      <c r="A53" s="26" t="s">
        <v>149</v>
      </c>
      <c r="B53" s="26" t="s">
        <v>387</v>
      </c>
      <c r="C53" s="17" t="s">
        <v>61</v>
      </c>
      <c r="D53" s="17" t="s">
        <v>391</v>
      </c>
      <c r="E53" s="17" t="s">
        <v>392</v>
      </c>
      <c r="F53" s="18"/>
    </row>
    <row r="54">
      <c r="C54" s="17" t="s">
        <v>92</v>
      </c>
      <c r="D54" s="17" t="s">
        <v>393</v>
      </c>
      <c r="E54" s="17" t="s">
        <v>394</v>
      </c>
      <c r="F54" s="18"/>
    </row>
    <row r="55">
      <c r="A55" s="26" t="s">
        <v>149</v>
      </c>
      <c r="B55" s="26" t="s">
        <v>395</v>
      </c>
      <c r="C55" s="17" t="s">
        <v>70</v>
      </c>
      <c r="D55" s="17" t="s">
        <v>399</v>
      </c>
      <c r="E55" s="17" t="s">
        <v>401</v>
      </c>
      <c r="F55" s="18"/>
    </row>
    <row r="56">
      <c r="C56" s="17" t="s">
        <v>145</v>
      </c>
      <c r="D56" s="17" t="s">
        <v>404</v>
      </c>
      <c r="E56" s="17" t="s">
        <v>406</v>
      </c>
      <c r="F56" s="18"/>
    </row>
    <row r="57">
      <c r="A57" s="26" t="s">
        <v>149</v>
      </c>
      <c r="B57" s="26" t="s">
        <v>410</v>
      </c>
      <c r="C57" s="17" t="s">
        <v>193</v>
      </c>
      <c r="D57" s="17" t="s">
        <v>363</v>
      </c>
      <c r="E57" s="17" t="s">
        <v>412</v>
      </c>
      <c r="F57" s="18"/>
    </row>
    <row r="58">
      <c r="A58" s="17" t="s">
        <v>149</v>
      </c>
      <c r="B58" s="17" t="s">
        <v>418</v>
      </c>
      <c r="C58" s="17" t="s">
        <v>420</v>
      </c>
      <c r="D58" s="17" t="s">
        <v>422</v>
      </c>
      <c r="E58" s="17" t="s">
        <v>423</v>
      </c>
      <c r="F58" s="18"/>
    </row>
    <row r="59">
      <c r="A59" s="26" t="s">
        <v>149</v>
      </c>
      <c r="B59" s="26" t="s">
        <v>425</v>
      </c>
      <c r="C59" s="17" t="s">
        <v>136</v>
      </c>
      <c r="D59" s="17" t="s">
        <v>426</v>
      </c>
      <c r="E59" s="17" t="s">
        <v>429</v>
      </c>
      <c r="F59" s="18"/>
    </row>
    <row r="60">
      <c r="A60" s="17" t="s">
        <v>149</v>
      </c>
      <c r="B60" s="17" t="s">
        <v>433</v>
      </c>
      <c r="C60" s="17" t="s">
        <v>117</v>
      </c>
      <c r="D60" s="17" t="s">
        <v>436</v>
      </c>
      <c r="E60" s="17" t="s">
        <v>437</v>
      </c>
      <c r="F60" s="18"/>
    </row>
    <row r="61">
      <c r="A61" s="26" t="s">
        <v>120</v>
      </c>
      <c r="B61" s="26" t="s">
        <v>440</v>
      </c>
      <c r="C61" s="17" t="s">
        <v>140</v>
      </c>
      <c r="D61" s="17" t="s">
        <v>443</v>
      </c>
      <c r="E61" s="17" t="s">
        <v>445</v>
      </c>
      <c r="F61" s="18"/>
    </row>
    <row r="62">
      <c r="C62" s="17" t="s">
        <v>140</v>
      </c>
      <c r="D62" s="17" t="s">
        <v>449</v>
      </c>
      <c r="E62" s="17" t="s">
        <v>450</v>
      </c>
      <c r="F62" s="18"/>
    </row>
    <row r="63">
      <c r="A63" s="26" t="s">
        <v>120</v>
      </c>
      <c r="B63" s="26" t="s">
        <v>455</v>
      </c>
      <c r="C63" s="17" t="s">
        <v>140</v>
      </c>
      <c r="D63" s="17" t="s">
        <v>456</v>
      </c>
      <c r="E63" s="17" t="s">
        <v>458</v>
      </c>
      <c r="F63" s="18"/>
    </row>
    <row r="64">
      <c r="C64" s="17" t="s">
        <v>140</v>
      </c>
      <c r="D64" s="17" t="s">
        <v>460</v>
      </c>
      <c r="E64" s="17" t="s">
        <v>463</v>
      </c>
      <c r="F64" s="18"/>
    </row>
    <row r="65">
      <c r="A65" s="26" t="s">
        <v>120</v>
      </c>
      <c r="B65" s="26" t="s">
        <v>468</v>
      </c>
      <c r="C65" s="17" t="s">
        <v>469</v>
      </c>
      <c r="D65" s="17" t="s">
        <v>470</v>
      </c>
      <c r="E65" s="17" t="s">
        <v>472</v>
      </c>
      <c r="F65" s="18"/>
    </row>
    <row r="66">
      <c r="C66" s="17" t="s">
        <v>116</v>
      </c>
      <c r="D66" s="17" t="s">
        <v>474</v>
      </c>
      <c r="E66" s="17" t="s">
        <v>475</v>
      </c>
      <c r="F66" s="18"/>
    </row>
    <row r="67">
      <c r="A67" s="17" t="s">
        <v>120</v>
      </c>
      <c r="B67" s="17" t="s">
        <v>476</v>
      </c>
      <c r="C67" s="17" t="s">
        <v>140</v>
      </c>
      <c r="D67" s="17" t="s">
        <v>477</v>
      </c>
      <c r="E67" s="17" t="s">
        <v>479</v>
      </c>
      <c r="F67" s="18"/>
    </row>
    <row r="68">
      <c r="A68" s="17" t="s">
        <v>120</v>
      </c>
      <c r="B68" s="17" t="s">
        <v>483</v>
      </c>
      <c r="C68" s="17" t="s">
        <v>383</v>
      </c>
      <c r="D68" s="17" t="s">
        <v>487</v>
      </c>
      <c r="E68" s="17" t="s">
        <v>489</v>
      </c>
      <c r="F68" s="18"/>
    </row>
    <row r="69">
      <c r="A69" s="17" t="s">
        <v>120</v>
      </c>
      <c r="B69" s="17" t="s">
        <v>494</v>
      </c>
      <c r="C69" s="17" t="s">
        <v>383</v>
      </c>
      <c r="D69" s="17" t="s">
        <v>498</v>
      </c>
      <c r="E69" s="17" t="s">
        <v>500</v>
      </c>
      <c r="F69" s="18"/>
    </row>
    <row r="70">
      <c r="A70" s="17" t="s">
        <v>120</v>
      </c>
      <c r="B70" s="17" t="s">
        <v>502</v>
      </c>
      <c r="C70" s="17" t="s">
        <v>117</v>
      </c>
      <c r="D70" s="17" t="s">
        <v>503</v>
      </c>
      <c r="E70" s="17" t="s">
        <v>504</v>
      </c>
      <c r="F70" s="18"/>
    </row>
    <row r="71">
      <c r="A71" s="17" t="s">
        <v>120</v>
      </c>
      <c r="B71" s="17" t="s">
        <v>505</v>
      </c>
      <c r="C71" s="17" t="s">
        <v>383</v>
      </c>
      <c r="D71" s="17" t="s">
        <v>506</v>
      </c>
      <c r="E71" s="17" t="s">
        <v>507</v>
      </c>
      <c r="F71" s="18"/>
    </row>
    <row r="72">
      <c r="A72" s="17" t="s">
        <v>120</v>
      </c>
      <c r="B72" s="17" t="s">
        <v>513</v>
      </c>
      <c r="C72" s="17" t="s">
        <v>140</v>
      </c>
      <c r="D72" s="17" t="s">
        <v>516</v>
      </c>
      <c r="E72" s="17" t="s">
        <v>517</v>
      </c>
      <c r="F72" s="18"/>
    </row>
    <row r="73">
      <c r="A73" s="17" t="s">
        <v>120</v>
      </c>
      <c r="B73" s="17" t="s">
        <v>521</v>
      </c>
      <c r="C73" s="17" t="s">
        <v>140</v>
      </c>
      <c r="D73" s="17" t="s">
        <v>522</v>
      </c>
      <c r="E73" s="17" t="s">
        <v>523</v>
      </c>
      <c r="F73" s="18"/>
    </row>
    <row r="74">
      <c r="A74" s="17" t="s">
        <v>178</v>
      </c>
      <c r="B74" s="17" t="s">
        <v>525</v>
      </c>
      <c r="C74" s="17" t="s">
        <v>74</v>
      </c>
      <c r="D74" s="17" t="s">
        <v>526</v>
      </c>
      <c r="E74" s="17" t="s">
        <v>527</v>
      </c>
      <c r="F74" s="18"/>
    </row>
    <row r="75">
      <c r="C75" s="17" t="s">
        <v>74</v>
      </c>
      <c r="D75" s="17" t="s">
        <v>528</v>
      </c>
      <c r="E75" s="17" t="s">
        <v>529</v>
      </c>
      <c r="F75" s="18"/>
    </row>
    <row r="76">
      <c r="A76" s="17" t="s">
        <v>178</v>
      </c>
      <c r="B76" s="17" t="s">
        <v>536</v>
      </c>
      <c r="C76" s="17" t="s">
        <v>344</v>
      </c>
      <c r="D76" s="17" t="s">
        <v>538</v>
      </c>
      <c r="E76" s="17" t="s">
        <v>539</v>
      </c>
      <c r="F76" s="18"/>
    </row>
    <row r="77">
      <c r="C77" s="17" t="s">
        <v>344</v>
      </c>
      <c r="D77" s="17" t="s">
        <v>540</v>
      </c>
      <c r="E77" s="17" t="s">
        <v>541</v>
      </c>
      <c r="F77" s="18"/>
    </row>
    <row r="78">
      <c r="A78" s="17" t="s">
        <v>178</v>
      </c>
      <c r="B78" s="17" t="s">
        <v>544</v>
      </c>
      <c r="C78" s="17" t="s">
        <v>74</v>
      </c>
      <c r="D78" s="17" t="s">
        <v>548</v>
      </c>
      <c r="E78" s="17" t="s">
        <v>551</v>
      </c>
      <c r="F78" s="18"/>
    </row>
    <row r="79">
      <c r="C79" s="17" t="s">
        <v>416</v>
      </c>
      <c r="D79" s="17" t="s">
        <v>553</v>
      </c>
      <c r="E79" s="17" t="s">
        <v>555</v>
      </c>
      <c r="F79" s="18"/>
    </row>
    <row r="80">
      <c r="A80" s="17" t="s">
        <v>178</v>
      </c>
      <c r="B80" s="17" t="s">
        <v>556</v>
      </c>
      <c r="C80" s="17" t="s">
        <v>117</v>
      </c>
      <c r="D80" s="17" t="s">
        <v>557</v>
      </c>
      <c r="E80" s="17" t="s">
        <v>558</v>
      </c>
      <c r="F80" s="18"/>
    </row>
    <row r="81">
      <c r="C81" s="17" t="s">
        <v>416</v>
      </c>
      <c r="D81" s="17" t="s">
        <v>561</v>
      </c>
      <c r="E81" s="17" t="s">
        <v>564</v>
      </c>
      <c r="F81" s="18"/>
    </row>
    <row r="82">
      <c r="A82" s="17" t="s">
        <v>178</v>
      </c>
      <c r="B82" s="17" t="s">
        <v>566</v>
      </c>
      <c r="C82" s="17" t="s">
        <v>344</v>
      </c>
      <c r="D82" s="17" t="s">
        <v>569</v>
      </c>
      <c r="E82" s="17" t="s">
        <v>570</v>
      </c>
      <c r="F82" s="18"/>
    </row>
    <row r="83">
      <c r="A83" s="17" t="s">
        <v>178</v>
      </c>
      <c r="B83" s="17" t="s">
        <v>574</v>
      </c>
      <c r="C83" s="17" t="s">
        <v>117</v>
      </c>
      <c r="D83" s="17" t="s">
        <v>577</v>
      </c>
      <c r="E83" s="17" t="s">
        <v>579</v>
      </c>
      <c r="F83" s="18"/>
    </row>
    <row r="84">
      <c r="A84" s="17" t="s">
        <v>178</v>
      </c>
      <c r="B84" s="17" t="s">
        <v>583</v>
      </c>
      <c r="C84" s="17" t="s">
        <v>140</v>
      </c>
      <c r="D84" s="17" t="s">
        <v>584</v>
      </c>
      <c r="E84" s="17" t="s">
        <v>585</v>
      </c>
      <c r="F84" s="18"/>
    </row>
    <row r="85">
      <c r="A85" s="17" t="s">
        <v>232</v>
      </c>
      <c r="B85" s="17" t="s">
        <v>586</v>
      </c>
      <c r="C85" s="17" t="s">
        <v>117</v>
      </c>
      <c r="D85" s="17" t="s">
        <v>588</v>
      </c>
      <c r="E85" s="17" t="s">
        <v>591</v>
      </c>
      <c r="F85" s="18"/>
    </row>
    <row r="86">
      <c r="C86" s="17" t="s">
        <v>491</v>
      </c>
      <c r="D86" s="17" t="s">
        <v>595</v>
      </c>
      <c r="E86" s="17" t="s">
        <v>597</v>
      </c>
      <c r="F86" s="18"/>
    </row>
    <row r="87">
      <c r="A87" s="17" t="s">
        <v>232</v>
      </c>
      <c r="B87" s="17" t="s">
        <v>598</v>
      </c>
      <c r="C87" s="17" t="s">
        <v>457</v>
      </c>
      <c r="D87" s="17" t="s">
        <v>601</v>
      </c>
      <c r="E87" s="17" t="s">
        <v>602</v>
      </c>
      <c r="F87" s="18"/>
    </row>
    <row r="88">
      <c r="C88" s="17" t="s">
        <v>457</v>
      </c>
      <c r="D88" s="17" t="s">
        <v>604</v>
      </c>
      <c r="E88" s="17" t="s">
        <v>605</v>
      </c>
      <c r="F88" s="18"/>
    </row>
    <row r="89">
      <c r="A89" s="17" t="s">
        <v>232</v>
      </c>
      <c r="B89" s="17" t="s">
        <v>608</v>
      </c>
      <c r="C89" s="17" t="s">
        <v>117</v>
      </c>
      <c r="D89" s="17" t="s">
        <v>610</v>
      </c>
      <c r="E89" s="17" t="s">
        <v>611</v>
      </c>
      <c r="F89" s="18"/>
    </row>
    <row r="90">
      <c r="C90" s="17" t="s">
        <v>33</v>
      </c>
      <c r="D90" s="17" t="s">
        <v>612</v>
      </c>
      <c r="E90" s="17" t="s">
        <v>613</v>
      </c>
      <c r="F90" s="18"/>
    </row>
    <row r="91">
      <c r="A91" s="17" t="s">
        <v>232</v>
      </c>
      <c r="B91" s="17" t="s">
        <v>614</v>
      </c>
      <c r="C91" s="17" t="s">
        <v>491</v>
      </c>
      <c r="D91" s="17" t="s">
        <v>616</v>
      </c>
      <c r="E91" s="17" t="s">
        <v>618</v>
      </c>
      <c r="F91" s="18"/>
    </row>
    <row r="92">
      <c r="A92" s="17" t="s">
        <v>232</v>
      </c>
      <c r="B92" s="17" t="s">
        <v>622</v>
      </c>
      <c r="C92" s="17" t="s">
        <v>469</v>
      </c>
      <c r="D92" s="17" t="s">
        <v>624</v>
      </c>
      <c r="E92" s="17" t="s">
        <v>625</v>
      </c>
      <c r="F92" s="18"/>
    </row>
    <row r="93">
      <c r="A93" s="17" t="s">
        <v>232</v>
      </c>
      <c r="B93" s="17" t="s">
        <v>626</v>
      </c>
      <c r="C93" s="17" t="s">
        <v>116</v>
      </c>
      <c r="D93" s="17" t="s">
        <v>627</v>
      </c>
      <c r="E93" s="17" t="s">
        <v>629</v>
      </c>
      <c r="F93" s="18"/>
    </row>
    <row r="94">
      <c r="A94" s="17" t="s">
        <v>232</v>
      </c>
      <c r="B94" s="17" t="s">
        <v>632</v>
      </c>
      <c r="C94" s="17" t="s">
        <v>116</v>
      </c>
      <c r="D94" s="17" t="s">
        <v>633</v>
      </c>
      <c r="E94" s="17" t="s">
        <v>634</v>
      </c>
      <c r="F94" s="18"/>
    </row>
    <row r="95">
      <c r="A95" s="50"/>
      <c r="B95" s="50"/>
      <c r="C95" s="50"/>
      <c r="D95" s="50"/>
      <c r="E95" s="50"/>
      <c r="F95" s="51"/>
    </row>
    <row r="96">
      <c r="A96" s="50"/>
      <c r="B96" s="50"/>
      <c r="C96" s="50"/>
      <c r="D96" s="50"/>
      <c r="E96" s="50"/>
      <c r="F96" s="51"/>
    </row>
    <row r="97">
      <c r="A97" s="50"/>
      <c r="B97" s="50"/>
      <c r="C97" s="50"/>
      <c r="D97" s="50"/>
      <c r="E97" s="50"/>
      <c r="F97" s="51"/>
    </row>
    <row r="98">
      <c r="A98" s="50"/>
      <c r="B98" s="50"/>
      <c r="C98" s="50"/>
      <c r="D98" s="50"/>
      <c r="E98" s="50"/>
      <c r="F98" s="51"/>
    </row>
    <row r="99">
      <c r="A99" s="50"/>
      <c r="B99" s="50"/>
      <c r="C99" s="50"/>
      <c r="D99" s="50"/>
      <c r="E99" s="50"/>
      <c r="F99" s="51"/>
    </row>
    <row r="100">
      <c r="A100" s="50"/>
      <c r="B100" s="50"/>
      <c r="C100" s="50"/>
      <c r="D100" s="50"/>
      <c r="E100" s="50"/>
      <c r="F100" s="51"/>
    </row>
    <row r="101">
      <c r="A101" s="50"/>
      <c r="B101" s="50"/>
      <c r="C101" s="50"/>
      <c r="D101" s="50"/>
      <c r="E101" s="50"/>
      <c r="F101" s="51"/>
    </row>
    <row r="102">
      <c r="A102" s="50"/>
      <c r="B102" s="50"/>
      <c r="C102" s="50"/>
      <c r="D102" s="50"/>
      <c r="E102" s="50"/>
      <c r="F102" s="51"/>
    </row>
    <row r="103">
      <c r="A103" s="50"/>
      <c r="B103" s="50"/>
      <c r="C103" s="50"/>
      <c r="D103" s="50"/>
      <c r="E103" s="50"/>
      <c r="F103" s="51"/>
    </row>
    <row r="104">
      <c r="A104" s="50"/>
      <c r="B104" s="50"/>
      <c r="C104" s="50"/>
      <c r="D104" s="50"/>
      <c r="E104" s="50"/>
      <c r="F104" s="51"/>
    </row>
    <row r="105">
      <c r="A105" s="50"/>
      <c r="B105" s="50"/>
      <c r="C105" s="50"/>
      <c r="D105" s="50"/>
      <c r="E105" s="50"/>
      <c r="F105" s="51"/>
    </row>
    <row r="106">
      <c r="A106" s="50"/>
      <c r="B106" s="50"/>
      <c r="C106" s="50"/>
      <c r="D106" s="50"/>
      <c r="E106" s="50"/>
      <c r="F106" s="51"/>
    </row>
    <row r="107">
      <c r="A107" s="50"/>
      <c r="B107" s="50"/>
      <c r="C107" s="50"/>
      <c r="D107" s="50"/>
      <c r="E107" s="50"/>
      <c r="F107" s="51"/>
    </row>
    <row r="108">
      <c r="A108" s="50"/>
      <c r="B108" s="50"/>
      <c r="C108" s="50"/>
      <c r="D108" s="50"/>
      <c r="E108" s="50"/>
      <c r="F108" s="51"/>
    </row>
    <row r="109">
      <c r="A109" s="50"/>
      <c r="B109" s="50"/>
      <c r="C109" s="50"/>
      <c r="D109" s="50"/>
      <c r="E109" s="50"/>
      <c r="F109" s="51"/>
    </row>
    <row r="110">
      <c r="A110" s="50"/>
      <c r="B110" s="50"/>
      <c r="C110" s="50"/>
      <c r="D110" s="50"/>
      <c r="E110" s="50"/>
      <c r="F110" s="51"/>
    </row>
    <row r="111">
      <c r="A111" s="50"/>
      <c r="B111" s="50"/>
      <c r="C111" s="50"/>
      <c r="D111" s="50"/>
      <c r="E111" s="50"/>
      <c r="F111" s="51"/>
    </row>
    <row r="112">
      <c r="A112" s="50"/>
      <c r="B112" s="50"/>
      <c r="C112" s="50"/>
      <c r="D112" s="50"/>
      <c r="E112" s="50"/>
      <c r="F112" s="51"/>
    </row>
    <row r="113">
      <c r="A113" s="50"/>
      <c r="B113" s="50"/>
      <c r="C113" s="50"/>
      <c r="D113" s="50"/>
      <c r="E113" s="50"/>
      <c r="F113" s="51"/>
    </row>
    <row r="114">
      <c r="A114" s="50"/>
      <c r="B114" s="50"/>
      <c r="C114" s="50"/>
      <c r="D114" s="50"/>
      <c r="E114" s="50"/>
      <c r="F114" s="51"/>
    </row>
    <row r="115">
      <c r="A115" s="50"/>
      <c r="B115" s="50"/>
      <c r="C115" s="50"/>
      <c r="D115" s="50"/>
      <c r="E115" s="50"/>
      <c r="F115" s="51"/>
    </row>
    <row r="116">
      <c r="A116" s="50"/>
      <c r="B116" s="50"/>
      <c r="C116" s="50"/>
      <c r="D116" s="50"/>
      <c r="E116" s="50"/>
      <c r="F116" s="51"/>
    </row>
    <row r="117">
      <c r="A117" s="50"/>
      <c r="B117" s="50"/>
      <c r="C117" s="50"/>
      <c r="D117" s="50"/>
      <c r="E117" s="50"/>
      <c r="F117" s="51"/>
    </row>
    <row r="118">
      <c r="A118" s="50"/>
      <c r="B118" s="50"/>
      <c r="C118" s="50"/>
      <c r="D118" s="50"/>
      <c r="E118" s="50"/>
      <c r="F118" s="51"/>
    </row>
    <row r="119">
      <c r="A119" s="50"/>
      <c r="B119" s="50"/>
      <c r="C119" s="50"/>
      <c r="D119" s="50"/>
      <c r="E119" s="50"/>
      <c r="F119" s="51"/>
    </row>
    <row r="120">
      <c r="A120" s="50"/>
      <c r="B120" s="50"/>
      <c r="C120" s="50"/>
      <c r="D120" s="50"/>
      <c r="E120" s="50"/>
      <c r="F120" s="51"/>
    </row>
    <row r="121">
      <c r="A121" s="50"/>
      <c r="B121" s="50"/>
      <c r="C121" s="50"/>
      <c r="D121" s="50"/>
      <c r="E121" s="50"/>
      <c r="F121" s="51"/>
    </row>
    <row r="122">
      <c r="A122" s="50"/>
      <c r="B122" s="50"/>
      <c r="C122" s="50"/>
      <c r="D122" s="50"/>
      <c r="E122" s="50"/>
      <c r="F122" s="51"/>
    </row>
    <row r="123">
      <c r="A123" s="50"/>
      <c r="B123" s="50"/>
      <c r="C123" s="50"/>
      <c r="D123" s="50"/>
      <c r="E123" s="50"/>
      <c r="F123" s="51"/>
    </row>
    <row r="124">
      <c r="A124" s="50"/>
      <c r="B124" s="50"/>
      <c r="C124" s="50"/>
      <c r="D124" s="50"/>
      <c r="E124" s="50"/>
      <c r="F124" s="51"/>
    </row>
    <row r="125">
      <c r="A125" s="50"/>
      <c r="B125" s="50"/>
      <c r="C125" s="50"/>
      <c r="D125" s="50"/>
      <c r="E125" s="50"/>
      <c r="F125" s="51"/>
    </row>
    <row r="126">
      <c r="A126" s="50"/>
      <c r="B126" s="50"/>
      <c r="C126" s="50"/>
      <c r="D126" s="50"/>
      <c r="E126" s="50"/>
      <c r="F126" s="51"/>
    </row>
    <row r="127">
      <c r="A127" s="50"/>
      <c r="B127" s="50"/>
      <c r="C127" s="50"/>
      <c r="D127" s="50"/>
      <c r="E127" s="50"/>
      <c r="F127" s="51"/>
    </row>
    <row r="128">
      <c r="A128" s="50"/>
      <c r="B128" s="50"/>
      <c r="C128" s="50"/>
      <c r="D128" s="50"/>
      <c r="E128" s="50"/>
      <c r="F128" s="51"/>
    </row>
    <row r="129">
      <c r="A129" s="50"/>
      <c r="B129" s="50"/>
      <c r="C129" s="50"/>
      <c r="D129" s="50"/>
      <c r="E129" s="50"/>
      <c r="F129" s="51"/>
    </row>
    <row r="130">
      <c r="A130" s="50"/>
      <c r="B130" s="50"/>
      <c r="C130" s="50"/>
      <c r="D130" s="50"/>
      <c r="E130" s="50"/>
      <c r="F130" s="51"/>
    </row>
    <row r="131">
      <c r="A131" s="50"/>
      <c r="B131" s="50"/>
      <c r="C131" s="50"/>
      <c r="D131" s="50"/>
      <c r="E131" s="50"/>
      <c r="F131" s="51"/>
    </row>
    <row r="132">
      <c r="A132" s="50"/>
      <c r="B132" s="50"/>
      <c r="C132" s="50"/>
      <c r="D132" s="50"/>
      <c r="E132" s="50"/>
      <c r="F132" s="51"/>
    </row>
    <row r="133">
      <c r="A133" s="50"/>
      <c r="B133" s="50"/>
      <c r="C133" s="50"/>
      <c r="D133" s="50"/>
      <c r="E133" s="50"/>
      <c r="F133" s="51"/>
    </row>
    <row r="134">
      <c r="A134" s="50"/>
      <c r="B134" s="50"/>
      <c r="C134" s="50"/>
      <c r="D134" s="50"/>
      <c r="E134" s="50"/>
      <c r="F134" s="51"/>
    </row>
    <row r="135">
      <c r="A135" s="50"/>
      <c r="B135" s="50"/>
      <c r="C135" s="50"/>
      <c r="D135" s="50"/>
      <c r="E135" s="50"/>
      <c r="F135" s="51"/>
    </row>
    <row r="136">
      <c r="A136" s="50"/>
      <c r="B136" s="50"/>
      <c r="C136" s="50"/>
      <c r="D136" s="50"/>
      <c r="E136" s="50"/>
      <c r="F136" s="51"/>
    </row>
    <row r="137">
      <c r="A137" s="50"/>
      <c r="B137" s="50"/>
      <c r="C137" s="50"/>
      <c r="D137" s="50"/>
      <c r="E137" s="50"/>
      <c r="F137" s="51"/>
    </row>
    <row r="138">
      <c r="A138" s="50"/>
      <c r="B138" s="50"/>
      <c r="C138" s="50"/>
      <c r="D138" s="50"/>
      <c r="E138" s="50"/>
      <c r="F138" s="51"/>
    </row>
    <row r="139">
      <c r="A139" s="50"/>
      <c r="B139" s="50"/>
      <c r="C139" s="50"/>
      <c r="D139" s="50"/>
      <c r="E139" s="50"/>
      <c r="F139" s="51"/>
    </row>
    <row r="140">
      <c r="A140" s="50"/>
      <c r="B140" s="50"/>
      <c r="C140" s="50"/>
      <c r="D140" s="50"/>
      <c r="E140" s="50"/>
      <c r="F140" s="51"/>
    </row>
    <row r="141">
      <c r="A141" s="50"/>
      <c r="B141" s="50"/>
      <c r="C141" s="50"/>
      <c r="D141" s="50"/>
      <c r="E141" s="50"/>
      <c r="F141" s="51"/>
    </row>
    <row r="142">
      <c r="A142" s="50"/>
      <c r="B142" s="50"/>
      <c r="C142" s="50"/>
      <c r="D142" s="50"/>
      <c r="E142" s="50"/>
      <c r="F142" s="51"/>
    </row>
    <row r="143">
      <c r="A143" s="50"/>
      <c r="B143" s="50"/>
      <c r="C143" s="50"/>
      <c r="D143" s="50"/>
      <c r="E143" s="50"/>
      <c r="F143" s="51"/>
    </row>
    <row r="144">
      <c r="A144" s="50"/>
      <c r="B144" s="50"/>
      <c r="C144" s="50"/>
      <c r="D144" s="50"/>
      <c r="E144" s="50"/>
      <c r="F144" s="51"/>
    </row>
    <row r="145">
      <c r="A145" s="50"/>
      <c r="B145" s="50"/>
      <c r="C145" s="50"/>
      <c r="D145" s="50"/>
      <c r="E145" s="50"/>
      <c r="F145" s="51"/>
    </row>
    <row r="146">
      <c r="A146" s="50"/>
      <c r="B146" s="50"/>
      <c r="C146" s="50"/>
      <c r="D146" s="50"/>
      <c r="E146" s="50"/>
      <c r="F146" s="51"/>
    </row>
    <row r="147">
      <c r="A147" s="50"/>
      <c r="B147" s="50"/>
      <c r="C147" s="50"/>
      <c r="D147" s="50"/>
      <c r="E147" s="50"/>
      <c r="F147" s="51"/>
    </row>
    <row r="148">
      <c r="A148" s="50"/>
      <c r="B148" s="50"/>
      <c r="C148" s="50"/>
      <c r="D148" s="50"/>
      <c r="E148" s="50"/>
      <c r="F148" s="51"/>
    </row>
    <row r="149">
      <c r="A149" s="50"/>
      <c r="B149" s="50"/>
      <c r="C149" s="50"/>
      <c r="D149" s="50"/>
      <c r="E149" s="50"/>
      <c r="F149" s="51"/>
    </row>
    <row r="150">
      <c r="A150" s="50"/>
      <c r="B150" s="50"/>
      <c r="C150" s="50"/>
      <c r="D150" s="50"/>
      <c r="E150" s="50"/>
      <c r="F150" s="51"/>
    </row>
    <row r="151">
      <c r="A151" s="50"/>
      <c r="B151" s="50"/>
      <c r="C151" s="50"/>
      <c r="D151" s="50"/>
      <c r="E151" s="50"/>
      <c r="F151" s="51"/>
    </row>
    <row r="152">
      <c r="A152" s="50"/>
      <c r="B152" s="50"/>
      <c r="C152" s="50"/>
      <c r="D152" s="50"/>
      <c r="E152" s="50"/>
      <c r="F152" s="51"/>
    </row>
    <row r="153">
      <c r="A153" s="50"/>
      <c r="B153" s="50"/>
      <c r="C153" s="50"/>
      <c r="D153" s="50"/>
      <c r="E153" s="50"/>
      <c r="F153" s="51"/>
    </row>
    <row r="154">
      <c r="A154" s="50"/>
      <c r="B154" s="50"/>
      <c r="C154" s="50"/>
      <c r="D154" s="50"/>
      <c r="E154" s="50"/>
      <c r="F154" s="51"/>
    </row>
    <row r="155">
      <c r="A155" s="50"/>
      <c r="B155" s="50"/>
      <c r="C155" s="50"/>
      <c r="D155" s="50"/>
      <c r="E155" s="50"/>
      <c r="F155" s="51"/>
    </row>
    <row r="156">
      <c r="A156" s="50"/>
      <c r="B156" s="50"/>
      <c r="C156" s="50"/>
      <c r="D156" s="50"/>
      <c r="E156" s="50"/>
      <c r="F156" s="51"/>
    </row>
    <row r="157">
      <c r="A157" s="50"/>
      <c r="B157" s="50"/>
      <c r="C157" s="50"/>
      <c r="D157" s="50"/>
      <c r="E157" s="50"/>
      <c r="F157" s="51"/>
    </row>
    <row r="158">
      <c r="A158" s="50"/>
      <c r="B158" s="50"/>
      <c r="C158" s="50"/>
      <c r="D158" s="50"/>
      <c r="E158" s="50"/>
      <c r="F158" s="51"/>
    </row>
    <row r="159">
      <c r="A159" s="50"/>
      <c r="B159" s="50"/>
      <c r="C159" s="50"/>
      <c r="D159" s="50"/>
      <c r="E159" s="50"/>
      <c r="F159" s="51"/>
    </row>
    <row r="160">
      <c r="A160" s="50"/>
      <c r="B160" s="50"/>
      <c r="C160" s="50"/>
      <c r="D160" s="50"/>
      <c r="E160" s="50"/>
      <c r="F160" s="51"/>
    </row>
    <row r="161">
      <c r="A161" s="50"/>
      <c r="B161" s="50"/>
      <c r="C161" s="50"/>
      <c r="D161" s="50"/>
      <c r="E161" s="50"/>
      <c r="F161" s="51"/>
    </row>
    <row r="162">
      <c r="A162" s="50"/>
      <c r="B162" s="50"/>
      <c r="C162" s="50"/>
      <c r="D162" s="50"/>
      <c r="E162" s="50"/>
      <c r="F162" s="51"/>
    </row>
    <row r="163">
      <c r="A163" s="50"/>
      <c r="B163" s="50"/>
      <c r="C163" s="50"/>
      <c r="D163" s="50"/>
      <c r="E163" s="50"/>
      <c r="F163" s="51"/>
    </row>
    <row r="164">
      <c r="A164" s="50"/>
      <c r="B164" s="50"/>
      <c r="C164" s="50"/>
      <c r="D164" s="50"/>
      <c r="E164" s="50"/>
      <c r="F164" s="51"/>
    </row>
    <row r="165">
      <c r="A165" s="50"/>
      <c r="B165" s="50"/>
      <c r="C165" s="50"/>
      <c r="D165" s="50"/>
      <c r="E165" s="50"/>
      <c r="F165" s="51"/>
    </row>
    <row r="166">
      <c r="A166" s="50"/>
      <c r="B166" s="50"/>
      <c r="C166" s="50"/>
      <c r="D166" s="50"/>
      <c r="E166" s="50"/>
      <c r="F166" s="51"/>
    </row>
    <row r="167">
      <c r="A167" s="50"/>
      <c r="B167" s="50"/>
      <c r="C167" s="50"/>
      <c r="D167" s="50"/>
      <c r="E167" s="50"/>
      <c r="F167" s="51"/>
    </row>
    <row r="168">
      <c r="A168" s="50"/>
      <c r="B168" s="50"/>
      <c r="C168" s="50"/>
      <c r="D168" s="50"/>
      <c r="E168" s="50"/>
      <c r="F168" s="51"/>
    </row>
    <row r="169">
      <c r="A169" s="50"/>
      <c r="B169" s="50"/>
      <c r="C169" s="50"/>
      <c r="D169" s="50"/>
      <c r="E169" s="50"/>
      <c r="F169" s="51"/>
    </row>
    <row r="170">
      <c r="A170" s="50"/>
      <c r="B170" s="50"/>
      <c r="C170" s="50"/>
      <c r="D170" s="50"/>
      <c r="E170" s="50"/>
      <c r="F170" s="51"/>
    </row>
    <row r="171">
      <c r="A171" s="50"/>
      <c r="B171" s="50"/>
      <c r="C171" s="50"/>
      <c r="D171" s="50"/>
      <c r="E171" s="50"/>
      <c r="F171" s="51"/>
    </row>
    <row r="172">
      <c r="A172" s="50"/>
      <c r="B172" s="50"/>
      <c r="C172" s="50"/>
      <c r="D172" s="50"/>
      <c r="E172" s="50"/>
      <c r="F172" s="51"/>
    </row>
    <row r="173">
      <c r="A173" s="50"/>
      <c r="B173" s="50"/>
      <c r="C173" s="50"/>
      <c r="D173" s="50"/>
      <c r="E173" s="50"/>
      <c r="F173" s="51"/>
    </row>
    <row r="174">
      <c r="A174" s="50"/>
      <c r="B174" s="50"/>
      <c r="C174" s="50"/>
      <c r="D174" s="50"/>
      <c r="E174" s="50"/>
      <c r="F174" s="51"/>
    </row>
    <row r="175">
      <c r="A175" s="50"/>
      <c r="B175" s="50"/>
      <c r="C175" s="50"/>
      <c r="D175" s="50"/>
      <c r="E175" s="50"/>
      <c r="F175" s="51"/>
    </row>
    <row r="176">
      <c r="A176" s="50"/>
      <c r="B176" s="50"/>
      <c r="C176" s="50"/>
      <c r="D176" s="50"/>
      <c r="E176" s="50"/>
      <c r="F176" s="51"/>
    </row>
    <row r="177">
      <c r="A177" s="50"/>
      <c r="B177" s="50"/>
      <c r="C177" s="50"/>
      <c r="D177" s="50"/>
      <c r="E177" s="50"/>
      <c r="F177" s="51"/>
    </row>
    <row r="178">
      <c r="A178" s="50"/>
      <c r="B178" s="50"/>
      <c r="C178" s="50"/>
      <c r="D178" s="50"/>
      <c r="E178" s="50"/>
      <c r="F178" s="51"/>
    </row>
    <row r="179">
      <c r="A179" s="50"/>
      <c r="B179" s="50"/>
      <c r="C179" s="50"/>
      <c r="D179" s="50"/>
      <c r="E179" s="50"/>
      <c r="F179" s="51"/>
    </row>
    <row r="180">
      <c r="A180" s="50"/>
      <c r="B180" s="50"/>
      <c r="C180" s="50"/>
      <c r="D180" s="50"/>
      <c r="E180" s="50"/>
      <c r="F180" s="51"/>
    </row>
    <row r="181">
      <c r="A181" s="50"/>
      <c r="B181" s="50"/>
      <c r="C181" s="50"/>
      <c r="D181" s="50"/>
      <c r="E181" s="50"/>
      <c r="F181" s="51"/>
    </row>
    <row r="182">
      <c r="A182" s="50"/>
      <c r="B182" s="50"/>
      <c r="C182" s="50"/>
      <c r="D182" s="50"/>
      <c r="E182" s="50"/>
      <c r="F182" s="51"/>
    </row>
    <row r="183">
      <c r="A183" s="50"/>
      <c r="B183" s="50"/>
      <c r="C183" s="50"/>
      <c r="D183" s="50"/>
      <c r="E183" s="50"/>
      <c r="F183" s="51"/>
    </row>
    <row r="184">
      <c r="A184" s="50"/>
      <c r="B184" s="50"/>
      <c r="C184" s="50"/>
      <c r="D184" s="50"/>
      <c r="E184" s="50"/>
      <c r="F184" s="51"/>
    </row>
    <row r="185">
      <c r="A185" s="50"/>
      <c r="B185" s="50"/>
      <c r="C185" s="50"/>
      <c r="D185" s="50"/>
      <c r="E185" s="50"/>
      <c r="F185" s="51"/>
    </row>
    <row r="186">
      <c r="A186" s="50"/>
      <c r="B186" s="50"/>
      <c r="C186" s="50"/>
      <c r="D186" s="50"/>
      <c r="E186" s="50"/>
      <c r="F186" s="51"/>
    </row>
    <row r="187">
      <c r="A187" s="50"/>
      <c r="B187" s="50"/>
      <c r="C187" s="50"/>
      <c r="D187" s="50"/>
      <c r="E187" s="50"/>
      <c r="F187" s="51"/>
    </row>
    <row r="188">
      <c r="A188" s="50"/>
      <c r="B188" s="50"/>
      <c r="C188" s="50"/>
      <c r="D188" s="50"/>
      <c r="E188" s="50"/>
      <c r="F188" s="51"/>
    </row>
    <row r="189">
      <c r="A189" s="50"/>
      <c r="B189" s="50"/>
      <c r="C189" s="50"/>
      <c r="D189" s="50"/>
      <c r="E189" s="50"/>
      <c r="F189" s="51"/>
    </row>
    <row r="190">
      <c r="A190" s="50"/>
      <c r="B190" s="50"/>
      <c r="C190" s="50"/>
      <c r="D190" s="50"/>
      <c r="E190" s="50"/>
      <c r="F190" s="51"/>
    </row>
    <row r="191">
      <c r="A191" s="50"/>
      <c r="B191" s="50"/>
      <c r="C191" s="50"/>
      <c r="D191" s="50"/>
      <c r="E191" s="50"/>
      <c r="F191" s="51"/>
    </row>
    <row r="192">
      <c r="A192" s="50"/>
      <c r="B192" s="50"/>
      <c r="C192" s="50"/>
      <c r="D192" s="50"/>
      <c r="E192" s="50"/>
      <c r="F192" s="51"/>
    </row>
    <row r="193">
      <c r="A193" s="50"/>
      <c r="B193" s="50"/>
      <c r="C193" s="50"/>
      <c r="D193" s="50"/>
      <c r="E193" s="50"/>
      <c r="F193" s="51"/>
    </row>
    <row r="194">
      <c r="A194" s="50"/>
      <c r="B194" s="50"/>
      <c r="C194" s="50"/>
      <c r="D194" s="50"/>
      <c r="E194" s="50"/>
      <c r="F194" s="51"/>
    </row>
    <row r="195">
      <c r="A195" s="50"/>
      <c r="B195" s="50"/>
      <c r="C195" s="50"/>
      <c r="D195" s="50"/>
      <c r="E195" s="50"/>
      <c r="F195" s="51"/>
    </row>
    <row r="196">
      <c r="A196" s="50"/>
      <c r="B196" s="50"/>
      <c r="C196" s="50"/>
      <c r="D196" s="50"/>
      <c r="E196" s="50"/>
      <c r="F196" s="51"/>
    </row>
    <row r="197">
      <c r="A197" s="50"/>
      <c r="B197" s="50"/>
      <c r="C197" s="50"/>
      <c r="D197" s="50"/>
      <c r="E197" s="50"/>
      <c r="F197" s="51"/>
    </row>
    <row r="198">
      <c r="A198" s="50"/>
      <c r="B198" s="50"/>
      <c r="C198" s="50"/>
      <c r="D198" s="50"/>
      <c r="E198" s="50"/>
      <c r="F198" s="51"/>
    </row>
    <row r="199">
      <c r="A199" s="50"/>
      <c r="B199" s="50"/>
      <c r="C199" s="50"/>
      <c r="D199" s="50"/>
      <c r="E199" s="50"/>
      <c r="F199" s="51"/>
    </row>
    <row r="200">
      <c r="A200" s="50"/>
      <c r="B200" s="50"/>
      <c r="C200" s="50"/>
      <c r="D200" s="50"/>
      <c r="E200" s="50"/>
      <c r="F200" s="51"/>
    </row>
    <row r="201">
      <c r="A201" s="50"/>
      <c r="B201" s="50"/>
      <c r="C201" s="50"/>
      <c r="D201" s="50"/>
      <c r="E201" s="50"/>
      <c r="F201" s="51"/>
    </row>
    <row r="202">
      <c r="A202" s="50"/>
      <c r="B202" s="50"/>
      <c r="C202" s="50"/>
      <c r="D202" s="50"/>
      <c r="E202" s="50"/>
      <c r="F202" s="51"/>
    </row>
    <row r="203">
      <c r="A203" s="50"/>
      <c r="B203" s="50"/>
      <c r="C203" s="50"/>
      <c r="D203" s="50"/>
      <c r="E203" s="50"/>
      <c r="F203" s="51"/>
    </row>
    <row r="204">
      <c r="A204" s="50"/>
      <c r="B204" s="50"/>
      <c r="C204" s="50"/>
      <c r="D204" s="50"/>
      <c r="E204" s="50"/>
      <c r="F204" s="51"/>
    </row>
    <row r="205">
      <c r="A205" s="50"/>
      <c r="B205" s="50"/>
      <c r="C205" s="50"/>
      <c r="D205" s="50"/>
      <c r="E205" s="50"/>
      <c r="F205" s="51"/>
    </row>
    <row r="206">
      <c r="A206" s="50"/>
      <c r="B206" s="50"/>
      <c r="C206" s="50"/>
      <c r="D206" s="50"/>
      <c r="E206" s="50"/>
      <c r="F206" s="51"/>
    </row>
    <row r="207">
      <c r="A207" s="50"/>
      <c r="B207" s="50"/>
      <c r="C207" s="50"/>
      <c r="D207" s="50"/>
      <c r="E207" s="50"/>
      <c r="F207" s="51"/>
    </row>
    <row r="208">
      <c r="A208" s="50"/>
      <c r="B208" s="50"/>
      <c r="C208" s="50"/>
      <c r="D208" s="50"/>
      <c r="E208" s="50"/>
      <c r="F208" s="51"/>
    </row>
    <row r="209">
      <c r="A209" s="50"/>
      <c r="B209" s="50"/>
      <c r="C209" s="50"/>
      <c r="D209" s="50"/>
      <c r="E209" s="50"/>
      <c r="F209" s="51"/>
    </row>
    <row r="210">
      <c r="A210" s="50"/>
      <c r="B210" s="50"/>
      <c r="C210" s="50"/>
      <c r="D210" s="50"/>
      <c r="E210" s="50"/>
      <c r="F210" s="51"/>
    </row>
    <row r="211">
      <c r="A211" s="50"/>
      <c r="B211" s="50"/>
      <c r="C211" s="50"/>
      <c r="D211" s="50"/>
      <c r="E211" s="50"/>
      <c r="F211" s="51"/>
    </row>
    <row r="212">
      <c r="A212" s="50"/>
      <c r="B212" s="50"/>
      <c r="C212" s="50"/>
      <c r="D212" s="50"/>
      <c r="E212" s="50"/>
      <c r="F212" s="51"/>
    </row>
    <row r="213">
      <c r="A213" s="50"/>
      <c r="B213" s="50"/>
      <c r="C213" s="50"/>
      <c r="D213" s="50"/>
      <c r="E213" s="50"/>
      <c r="F213" s="51"/>
    </row>
    <row r="214">
      <c r="A214" s="50"/>
      <c r="B214" s="50"/>
      <c r="C214" s="50"/>
      <c r="D214" s="50"/>
      <c r="E214" s="50"/>
      <c r="F214" s="51"/>
    </row>
    <row r="215">
      <c r="A215" s="50"/>
      <c r="B215" s="50"/>
      <c r="C215" s="50"/>
      <c r="D215" s="50"/>
      <c r="E215" s="50"/>
      <c r="F215" s="51"/>
    </row>
    <row r="216">
      <c r="A216" s="50"/>
      <c r="B216" s="50"/>
      <c r="C216" s="50"/>
      <c r="D216" s="50"/>
      <c r="E216" s="50"/>
      <c r="F216" s="51"/>
    </row>
    <row r="217">
      <c r="A217" s="50"/>
      <c r="B217" s="50"/>
      <c r="C217" s="50"/>
      <c r="D217" s="50"/>
      <c r="E217" s="50"/>
      <c r="F217" s="51"/>
    </row>
    <row r="218">
      <c r="A218" s="50"/>
      <c r="B218" s="50"/>
      <c r="C218" s="50"/>
      <c r="D218" s="50"/>
      <c r="E218" s="50"/>
      <c r="F218" s="51"/>
    </row>
    <row r="219">
      <c r="A219" s="50"/>
      <c r="B219" s="50"/>
      <c r="C219" s="50"/>
      <c r="D219" s="50"/>
      <c r="E219" s="50"/>
      <c r="F219" s="51"/>
    </row>
    <row r="220">
      <c r="A220" s="50"/>
      <c r="B220" s="50"/>
      <c r="C220" s="50"/>
      <c r="D220" s="50"/>
      <c r="E220" s="50"/>
      <c r="F220" s="51"/>
    </row>
    <row r="221">
      <c r="A221" s="50"/>
      <c r="B221" s="50"/>
      <c r="C221" s="50"/>
      <c r="D221" s="50"/>
      <c r="E221" s="50"/>
      <c r="F221" s="51"/>
    </row>
    <row r="222">
      <c r="A222" s="50"/>
      <c r="B222" s="50"/>
      <c r="C222" s="50"/>
      <c r="D222" s="50"/>
      <c r="E222" s="50"/>
      <c r="F222" s="51"/>
    </row>
    <row r="223">
      <c r="A223" s="50"/>
      <c r="B223" s="50"/>
      <c r="C223" s="50"/>
      <c r="D223" s="50"/>
      <c r="E223" s="50"/>
      <c r="F223" s="51"/>
    </row>
    <row r="224">
      <c r="A224" s="50"/>
      <c r="B224" s="50"/>
      <c r="C224" s="50"/>
      <c r="D224" s="50"/>
      <c r="E224" s="50"/>
      <c r="F224" s="51"/>
    </row>
    <row r="225">
      <c r="A225" s="50"/>
      <c r="B225" s="50"/>
      <c r="C225" s="50"/>
      <c r="D225" s="50"/>
      <c r="E225" s="50"/>
      <c r="F225" s="51"/>
    </row>
    <row r="226">
      <c r="A226" s="50"/>
      <c r="B226" s="50"/>
      <c r="C226" s="50"/>
      <c r="D226" s="50"/>
      <c r="E226" s="50"/>
      <c r="F226" s="51"/>
    </row>
    <row r="227">
      <c r="A227" s="50"/>
      <c r="B227" s="50"/>
      <c r="C227" s="50"/>
      <c r="D227" s="50"/>
      <c r="E227" s="50"/>
      <c r="F227" s="51"/>
    </row>
    <row r="228">
      <c r="A228" s="50"/>
      <c r="B228" s="50"/>
      <c r="C228" s="50"/>
      <c r="D228" s="50"/>
      <c r="E228" s="50"/>
      <c r="F228" s="51"/>
    </row>
    <row r="229">
      <c r="A229" s="50"/>
      <c r="B229" s="50"/>
      <c r="C229" s="50"/>
      <c r="D229" s="50"/>
      <c r="E229" s="50"/>
      <c r="F229" s="51"/>
    </row>
    <row r="230">
      <c r="A230" s="50"/>
      <c r="B230" s="50"/>
      <c r="C230" s="50"/>
      <c r="D230" s="50"/>
      <c r="E230" s="50"/>
      <c r="F230" s="51"/>
    </row>
    <row r="231">
      <c r="A231" s="50"/>
      <c r="B231" s="50"/>
      <c r="C231" s="50"/>
      <c r="D231" s="50"/>
      <c r="E231" s="50"/>
      <c r="F231" s="51"/>
    </row>
    <row r="232">
      <c r="A232" s="50"/>
      <c r="B232" s="50"/>
      <c r="C232" s="50"/>
      <c r="D232" s="50"/>
      <c r="E232" s="50"/>
      <c r="F232" s="51"/>
    </row>
    <row r="233">
      <c r="A233" s="50"/>
      <c r="B233" s="50"/>
      <c r="C233" s="50"/>
      <c r="D233" s="50"/>
      <c r="E233" s="50"/>
      <c r="F233" s="51"/>
    </row>
    <row r="234">
      <c r="A234" s="50"/>
      <c r="B234" s="50"/>
      <c r="C234" s="50"/>
      <c r="D234" s="50"/>
      <c r="E234" s="50"/>
      <c r="F234" s="51"/>
    </row>
    <row r="235">
      <c r="A235" s="50"/>
      <c r="B235" s="50"/>
      <c r="C235" s="50"/>
      <c r="D235" s="50"/>
      <c r="E235" s="50"/>
      <c r="F235" s="51"/>
    </row>
    <row r="236">
      <c r="A236" s="50"/>
      <c r="B236" s="50"/>
      <c r="C236" s="50"/>
      <c r="D236" s="50"/>
      <c r="E236" s="50"/>
      <c r="F236" s="51"/>
    </row>
    <row r="237">
      <c r="A237" s="50"/>
      <c r="B237" s="50"/>
      <c r="C237" s="50"/>
      <c r="D237" s="50"/>
      <c r="E237" s="50"/>
      <c r="F237" s="51"/>
    </row>
    <row r="238">
      <c r="A238" s="50"/>
      <c r="B238" s="50"/>
      <c r="C238" s="50"/>
      <c r="D238" s="50"/>
      <c r="E238" s="50"/>
      <c r="F238" s="51"/>
    </row>
    <row r="239">
      <c r="A239" s="50"/>
      <c r="B239" s="50"/>
      <c r="C239" s="50"/>
      <c r="D239" s="50"/>
      <c r="E239" s="50"/>
      <c r="F239" s="51"/>
    </row>
    <row r="240">
      <c r="A240" s="50"/>
      <c r="B240" s="50"/>
      <c r="C240" s="50"/>
      <c r="D240" s="50"/>
      <c r="E240" s="50"/>
      <c r="F240" s="51"/>
    </row>
    <row r="241">
      <c r="A241" s="50"/>
      <c r="B241" s="50"/>
      <c r="C241" s="50"/>
      <c r="D241" s="50"/>
      <c r="E241" s="50"/>
      <c r="F241" s="51"/>
    </row>
    <row r="242">
      <c r="A242" s="50"/>
      <c r="B242" s="50"/>
      <c r="C242" s="50"/>
      <c r="D242" s="50"/>
      <c r="E242" s="50"/>
      <c r="F242" s="51"/>
    </row>
    <row r="243">
      <c r="A243" s="50"/>
      <c r="B243" s="50"/>
      <c r="C243" s="50"/>
      <c r="D243" s="50"/>
      <c r="E243" s="50"/>
      <c r="F243" s="51"/>
    </row>
    <row r="244">
      <c r="A244" s="50"/>
      <c r="B244" s="50"/>
      <c r="C244" s="50"/>
      <c r="D244" s="50"/>
      <c r="E244" s="50"/>
      <c r="F244" s="51"/>
    </row>
    <row r="245">
      <c r="A245" s="50"/>
      <c r="B245" s="50"/>
      <c r="C245" s="50"/>
      <c r="D245" s="50"/>
      <c r="E245" s="50"/>
      <c r="F245" s="51"/>
    </row>
    <row r="246">
      <c r="A246" s="50"/>
      <c r="B246" s="50"/>
      <c r="C246" s="50"/>
      <c r="D246" s="50"/>
      <c r="E246" s="50"/>
      <c r="F246" s="51"/>
    </row>
    <row r="247">
      <c r="A247" s="50"/>
      <c r="B247" s="50"/>
      <c r="C247" s="50"/>
      <c r="D247" s="50"/>
      <c r="E247" s="50"/>
      <c r="F247" s="51"/>
    </row>
    <row r="248">
      <c r="A248" s="50"/>
      <c r="B248" s="50"/>
      <c r="C248" s="50"/>
      <c r="D248" s="50"/>
      <c r="E248" s="50"/>
      <c r="F248" s="51"/>
    </row>
    <row r="249">
      <c r="A249" s="50"/>
      <c r="B249" s="50"/>
      <c r="C249" s="50"/>
      <c r="D249" s="50"/>
      <c r="E249" s="50"/>
      <c r="F249" s="51"/>
    </row>
    <row r="250">
      <c r="A250" s="50"/>
      <c r="B250" s="50"/>
      <c r="C250" s="50"/>
      <c r="D250" s="50"/>
      <c r="E250" s="50"/>
      <c r="F250" s="51"/>
    </row>
    <row r="251">
      <c r="A251" s="50"/>
      <c r="B251" s="50"/>
      <c r="C251" s="50"/>
      <c r="D251" s="50"/>
      <c r="E251" s="50"/>
      <c r="F251" s="51"/>
    </row>
    <row r="252">
      <c r="A252" s="50"/>
      <c r="B252" s="50"/>
      <c r="C252" s="50"/>
      <c r="D252" s="50"/>
      <c r="E252" s="50"/>
      <c r="F252" s="51"/>
    </row>
    <row r="253">
      <c r="A253" s="50"/>
      <c r="B253" s="50"/>
      <c r="C253" s="50"/>
      <c r="D253" s="50"/>
      <c r="E253" s="50"/>
      <c r="F253" s="51"/>
    </row>
    <row r="254">
      <c r="A254" s="50"/>
      <c r="B254" s="50"/>
      <c r="C254" s="50"/>
      <c r="D254" s="50"/>
      <c r="E254" s="50"/>
      <c r="F254" s="51"/>
    </row>
    <row r="255">
      <c r="A255" s="50"/>
      <c r="B255" s="50"/>
      <c r="C255" s="50"/>
      <c r="D255" s="50"/>
      <c r="E255" s="50"/>
      <c r="F255" s="51"/>
    </row>
    <row r="256">
      <c r="A256" s="50"/>
      <c r="B256" s="50"/>
      <c r="C256" s="50"/>
      <c r="D256" s="50"/>
      <c r="E256" s="50"/>
      <c r="F256" s="51"/>
    </row>
    <row r="257">
      <c r="A257" s="50"/>
      <c r="B257" s="50"/>
      <c r="C257" s="50"/>
      <c r="D257" s="50"/>
      <c r="E257" s="50"/>
      <c r="F257" s="51"/>
    </row>
    <row r="258">
      <c r="A258" s="50"/>
      <c r="B258" s="50"/>
      <c r="C258" s="50"/>
      <c r="D258" s="50"/>
      <c r="E258" s="50"/>
      <c r="F258" s="51"/>
    </row>
    <row r="259">
      <c r="A259" s="50"/>
      <c r="B259" s="50"/>
      <c r="C259" s="50"/>
      <c r="D259" s="50"/>
      <c r="E259" s="50"/>
      <c r="F259" s="51"/>
    </row>
    <row r="260">
      <c r="A260" s="50"/>
      <c r="B260" s="50"/>
      <c r="C260" s="50"/>
      <c r="D260" s="50"/>
      <c r="E260" s="50"/>
      <c r="F260" s="51"/>
    </row>
    <row r="261">
      <c r="A261" s="50"/>
      <c r="B261" s="50"/>
      <c r="C261" s="50"/>
      <c r="D261" s="50"/>
      <c r="E261" s="50"/>
      <c r="F261" s="51"/>
    </row>
    <row r="262">
      <c r="A262" s="50"/>
      <c r="B262" s="50"/>
      <c r="C262" s="50"/>
      <c r="D262" s="50"/>
      <c r="E262" s="50"/>
      <c r="F262" s="51"/>
    </row>
    <row r="263">
      <c r="A263" s="50"/>
      <c r="B263" s="50"/>
      <c r="C263" s="50"/>
      <c r="D263" s="50"/>
      <c r="E263" s="50"/>
      <c r="F263" s="51"/>
    </row>
    <row r="264">
      <c r="A264" s="50"/>
      <c r="B264" s="50"/>
      <c r="C264" s="50"/>
      <c r="D264" s="50"/>
      <c r="E264" s="50"/>
      <c r="F264" s="51"/>
    </row>
    <row r="265">
      <c r="A265" s="50"/>
      <c r="B265" s="50"/>
      <c r="C265" s="50"/>
      <c r="D265" s="50"/>
      <c r="E265" s="50"/>
      <c r="F265" s="51"/>
    </row>
    <row r="266">
      <c r="A266" s="50"/>
      <c r="B266" s="50"/>
      <c r="C266" s="50"/>
      <c r="D266" s="50"/>
      <c r="E266" s="50"/>
      <c r="F266" s="51"/>
    </row>
    <row r="267">
      <c r="A267" s="50"/>
      <c r="B267" s="50"/>
      <c r="C267" s="50"/>
      <c r="D267" s="50"/>
      <c r="E267" s="50"/>
      <c r="F267" s="51"/>
    </row>
    <row r="268">
      <c r="A268" s="50"/>
      <c r="B268" s="50"/>
      <c r="C268" s="50"/>
      <c r="D268" s="50"/>
      <c r="E268" s="50"/>
      <c r="F268" s="51"/>
    </row>
    <row r="269">
      <c r="A269" s="50"/>
      <c r="B269" s="50"/>
      <c r="C269" s="50"/>
      <c r="D269" s="50"/>
      <c r="E269" s="50"/>
      <c r="F269" s="51"/>
    </row>
    <row r="270">
      <c r="A270" s="50"/>
      <c r="B270" s="50"/>
      <c r="C270" s="50"/>
      <c r="D270" s="50"/>
      <c r="E270" s="50"/>
      <c r="F270" s="51"/>
    </row>
    <row r="271">
      <c r="A271" s="50"/>
      <c r="B271" s="50"/>
      <c r="C271" s="50"/>
      <c r="D271" s="50"/>
      <c r="E271" s="50"/>
      <c r="F271" s="51"/>
    </row>
    <row r="272">
      <c r="A272" s="50"/>
      <c r="B272" s="50"/>
      <c r="C272" s="50"/>
      <c r="D272" s="50"/>
      <c r="E272" s="50"/>
      <c r="F272" s="51"/>
    </row>
    <row r="273">
      <c r="A273" s="50"/>
      <c r="B273" s="50"/>
      <c r="C273" s="50"/>
      <c r="D273" s="50"/>
      <c r="E273" s="50"/>
      <c r="F273" s="51"/>
    </row>
    <row r="274">
      <c r="A274" s="50"/>
      <c r="B274" s="50"/>
      <c r="C274" s="50"/>
      <c r="D274" s="50"/>
      <c r="E274" s="50"/>
      <c r="F274" s="51"/>
    </row>
    <row r="275">
      <c r="A275" s="50"/>
      <c r="B275" s="50"/>
      <c r="C275" s="50"/>
      <c r="D275" s="50"/>
      <c r="E275" s="50"/>
      <c r="F275" s="51"/>
    </row>
    <row r="276">
      <c r="A276" s="50"/>
      <c r="B276" s="50"/>
      <c r="C276" s="50"/>
      <c r="D276" s="50"/>
      <c r="E276" s="50"/>
      <c r="F276" s="51"/>
    </row>
    <row r="277">
      <c r="A277" s="50"/>
      <c r="B277" s="50"/>
      <c r="C277" s="50"/>
      <c r="D277" s="50"/>
      <c r="E277" s="50"/>
      <c r="F277" s="51"/>
    </row>
    <row r="278">
      <c r="A278" s="50"/>
      <c r="B278" s="50"/>
      <c r="C278" s="50"/>
      <c r="D278" s="50"/>
      <c r="E278" s="50"/>
      <c r="F278" s="51"/>
    </row>
    <row r="279">
      <c r="A279" s="50"/>
      <c r="B279" s="50"/>
      <c r="C279" s="50"/>
      <c r="D279" s="50"/>
      <c r="E279" s="50"/>
      <c r="F279" s="51"/>
    </row>
    <row r="280">
      <c r="A280" s="50"/>
      <c r="B280" s="50"/>
      <c r="C280" s="50"/>
      <c r="D280" s="50"/>
      <c r="E280" s="50"/>
      <c r="F280" s="51"/>
    </row>
    <row r="281">
      <c r="A281" s="50"/>
      <c r="B281" s="50"/>
      <c r="C281" s="50"/>
      <c r="D281" s="50"/>
      <c r="E281" s="50"/>
      <c r="F281" s="51"/>
    </row>
    <row r="282">
      <c r="A282" s="50"/>
      <c r="B282" s="50"/>
      <c r="C282" s="50"/>
      <c r="D282" s="50"/>
      <c r="E282" s="50"/>
      <c r="F282" s="51"/>
    </row>
    <row r="283">
      <c r="A283" s="50"/>
      <c r="B283" s="50"/>
      <c r="C283" s="50"/>
      <c r="D283" s="50"/>
      <c r="E283" s="50"/>
      <c r="F283" s="51"/>
    </row>
    <row r="284">
      <c r="A284" s="50"/>
      <c r="B284" s="50"/>
      <c r="C284" s="50"/>
      <c r="D284" s="50"/>
      <c r="E284" s="50"/>
      <c r="F284" s="51"/>
    </row>
    <row r="285">
      <c r="A285" s="50"/>
      <c r="B285" s="50"/>
      <c r="C285" s="50"/>
      <c r="D285" s="50"/>
      <c r="E285" s="50"/>
      <c r="F285" s="51"/>
    </row>
    <row r="286">
      <c r="A286" s="50"/>
      <c r="B286" s="50"/>
      <c r="C286" s="50"/>
      <c r="D286" s="50"/>
      <c r="E286" s="50"/>
      <c r="F286" s="51"/>
    </row>
    <row r="287">
      <c r="A287" s="50"/>
      <c r="B287" s="50"/>
      <c r="C287" s="50"/>
      <c r="D287" s="50"/>
      <c r="E287" s="50"/>
      <c r="F287" s="51"/>
    </row>
    <row r="288">
      <c r="A288" s="50"/>
      <c r="B288" s="50"/>
      <c r="C288" s="50"/>
      <c r="D288" s="50"/>
      <c r="E288" s="50"/>
      <c r="F288" s="51"/>
    </row>
    <row r="289">
      <c r="A289" s="50"/>
      <c r="B289" s="50"/>
      <c r="C289" s="50"/>
      <c r="D289" s="50"/>
      <c r="E289" s="50"/>
      <c r="F289" s="51"/>
    </row>
    <row r="290">
      <c r="A290" s="50"/>
      <c r="B290" s="50"/>
      <c r="C290" s="50"/>
      <c r="D290" s="50"/>
      <c r="E290" s="50"/>
      <c r="F290" s="51"/>
    </row>
    <row r="291">
      <c r="A291" s="50"/>
      <c r="B291" s="50"/>
      <c r="C291" s="50"/>
      <c r="D291" s="50"/>
      <c r="E291" s="50"/>
      <c r="F291" s="51"/>
    </row>
    <row r="292">
      <c r="A292" s="50"/>
      <c r="B292" s="50"/>
      <c r="C292" s="50"/>
      <c r="D292" s="50"/>
      <c r="E292" s="50"/>
      <c r="F292" s="51"/>
    </row>
    <row r="293">
      <c r="A293" s="50"/>
      <c r="B293" s="50"/>
      <c r="C293" s="50"/>
      <c r="D293" s="50"/>
      <c r="E293" s="50"/>
      <c r="F293" s="51"/>
    </row>
    <row r="294">
      <c r="A294" s="50"/>
      <c r="B294" s="50"/>
      <c r="C294" s="50"/>
      <c r="D294" s="50"/>
      <c r="E294" s="50"/>
      <c r="F294" s="51"/>
    </row>
    <row r="295">
      <c r="A295" s="50"/>
      <c r="B295" s="50"/>
      <c r="C295" s="50"/>
      <c r="D295" s="50"/>
      <c r="E295" s="50"/>
      <c r="F295" s="51"/>
    </row>
    <row r="296">
      <c r="A296" s="50"/>
      <c r="B296" s="50"/>
      <c r="C296" s="50"/>
      <c r="D296" s="50"/>
      <c r="E296" s="50"/>
      <c r="F296" s="51"/>
    </row>
    <row r="297">
      <c r="A297" s="50"/>
      <c r="B297" s="50"/>
      <c r="C297" s="50"/>
      <c r="D297" s="50"/>
      <c r="E297" s="50"/>
      <c r="F297" s="51"/>
    </row>
    <row r="298">
      <c r="A298" s="50"/>
      <c r="B298" s="50"/>
      <c r="C298" s="50"/>
      <c r="D298" s="50"/>
      <c r="E298" s="50"/>
      <c r="F298" s="51"/>
    </row>
    <row r="299">
      <c r="A299" s="50"/>
      <c r="B299" s="50"/>
      <c r="C299" s="50"/>
      <c r="D299" s="50"/>
      <c r="E299" s="50"/>
      <c r="F299" s="51"/>
    </row>
    <row r="300">
      <c r="A300" s="50"/>
      <c r="B300" s="50"/>
      <c r="C300" s="50"/>
      <c r="D300" s="50"/>
      <c r="E300" s="50"/>
      <c r="F300" s="51"/>
    </row>
    <row r="301">
      <c r="A301" s="50"/>
      <c r="B301" s="50"/>
      <c r="C301" s="50"/>
      <c r="D301" s="50"/>
      <c r="E301" s="50"/>
      <c r="F301" s="51"/>
    </row>
    <row r="302">
      <c r="A302" s="50"/>
      <c r="B302" s="50"/>
      <c r="C302" s="50"/>
      <c r="D302" s="50"/>
      <c r="E302" s="50"/>
      <c r="F302" s="51"/>
    </row>
    <row r="303">
      <c r="A303" s="50"/>
      <c r="B303" s="50"/>
      <c r="C303" s="50"/>
      <c r="D303" s="50"/>
      <c r="E303" s="50"/>
      <c r="F303" s="51"/>
    </row>
    <row r="304">
      <c r="A304" s="50"/>
      <c r="B304" s="50"/>
      <c r="C304" s="50"/>
      <c r="D304" s="50"/>
      <c r="E304" s="50"/>
      <c r="F304" s="51"/>
    </row>
    <row r="305">
      <c r="A305" s="50"/>
      <c r="B305" s="50"/>
      <c r="C305" s="50"/>
      <c r="D305" s="50"/>
      <c r="E305" s="50"/>
      <c r="F305" s="51"/>
    </row>
    <row r="306">
      <c r="A306" s="50"/>
      <c r="B306" s="50"/>
      <c r="C306" s="50"/>
      <c r="D306" s="50"/>
      <c r="E306" s="50"/>
      <c r="F306" s="51"/>
    </row>
    <row r="307">
      <c r="A307" s="50"/>
      <c r="B307" s="50"/>
      <c r="C307" s="50"/>
      <c r="D307" s="50"/>
      <c r="E307" s="50"/>
      <c r="F307" s="51"/>
    </row>
    <row r="308">
      <c r="A308" s="50"/>
      <c r="B308" s="50"/>
      <c r="C308" s="50"/>
      <c r="D308" s="50"/>
      <c r="E308" s="50"/>
      <c r="F308" s="51"/>
    </row>
    <row r="309">
      <c r="A309" s="50"/>
      <c r="B309" s="50"/>
      <c r="C309" s="50"/>
      <c r="D309" s="50"/>
      <c r="E309" s="50"/>
      <c r="F309" s="51"/>
    </row>
    <row r="310">
      <c r="A310" s="50"/>
      <c r="B310" s="50"/>
      <c r="C310" s="50"/>
      <c r="D310" s="50"/>
      <c r="E310" s="50"/>
      <c r="F310" s="51"/>
    </row>
    <row r="311">
      <c r="A311" s="50"/>
      <c r="B311" s="50"/>
      <c r="C311" s="50"/>
      <c r="D311" s="50"/>
      <c r="E311" s="50"/>
      <c r="F311" s="51"/>
    </row>
    <row r="312">
      <c r="A312" s="50"/>
      <c r="B312" s="50"/>
      <c r="C312" s="50"/>
      <c r="D312" s="50"/>
      <c r="E312" s="50"/>
      <c r="F312" s="51"/>
    </row>
    <row r="313">
      <c r="A313" s="50"/>
      <c r="B313" s="50"/>
      <c r="C313" s="50"/>
      <c r="D313" s="50"/>
      <c r="E313" s="50"/>
      <c r="F313" s="51"/>
    </row>
    <row r="314">
      <c r="A314" s="50"/>
      <c r="B314" s="50"/>
      <c r="C314" s="50"/>
      <c r="D314" s="50"/>
      <c r="E314" s="50"/>
      <c r="F314" s="51"/>
    </row>
    <row r="315">
      <c r="A315" s="50"/>
      <c r="B315" s="50"/>
      <c r="C315" s="50"/>
      <c r="D315" s="50"/>
      <c r="E315" s="50"/>
      <c r="F315" s="51"/>
    </row>
    <row r="316">
      <c r="A316" s="50"/>
      <c r="B316" s="50"/>
      <c r="C316" s="50"/>
      <c r="D316" s="50"/>
      <c r="E316" s="50"/>
      <c r="F316" s="51"/>
    </row>
    <row r="317">
      <c r="A317" s="50"/>
      <c r="B317" s="50"/>
      <c r="C317" s="50"/>
      <c r="D317" s="50"/>
      <c r="E317" s="50"/>
      <c r="F317" s="51"/>
    </row>
    <row r="318">
      <c r="A318" s="50"/>
      <c r="B318" s="50"/>
      <c r="C318" s="50"/>
      <c r="D318" s="50"/>
      <c r="E318" s="50"/>
      <c r="F318" s="51"/>
    </row>
    <row r="319">
      <c r="A319" s="50"/>
      <c r="B319" s="50"/>
      <c r="C319" s="50"/>
      <c r="D319" s="50"/>
      <c r="E319" s="50"/>
      <c r="F319" s="51"/>
    </row>
    <row r="320">
      <c r="A320" s="50"/>
      <c r="B320" s="50"/>
      <c r="C320" s="50"/>
      <c r="D320" s="50"/>
      <c r="E320" s="50"/>
      <c r="F320" s="51"/>
    </row>
    <row r="321">
      <c r="A321" s="50"/>
      <c r="B321" s="50"/>
      <c r="C321" s="50"/>
      <c r="D321" s="50"/>
      <c r="E321" s="50"/>
      <c r="F321" s="51"/>
    </row>
    <row r="322">
      <c r="A322" s="50"/>
      <c r="B322" s="50"/>
      <c r="C322" s="50"/>
      <c r="D322" s="50"/>
      <c r="E322" s="50"/>
      <c r="F322" s="51"/>
    </row>
    <row r="323">
      <c r="A323" s="50"/>
      <c r="B323" s="50"/>
      <c r="C323" s="50"/>
      <c r="D323" s="50"/>
      <c r="E323" s="50"/>
      <c r="F323" s="51"/>
    </row>
    <row r="324">
      <c r="A324" s="50"/>
      <c r="B324" s="50"/>
      <c r="C324" s="50"/>
      <c r="D324" s="50"/>
      <c r="E324" s="50"/>
      <c r="F324" s="51"/>
    </row>
    <row r="325">
      <c r="A325" s="50"/>
      <c r="B325" s="50"/>
      <c r="C325" s="50"/>
      <c r="D325" s="50"/>
      <c r="E325" s="50"/>
      <c r="F325" s="51"/>
    </row>
    <row r="326">
      <c r="A326" s="50"/>
      <c r="B326" s="50"/>
      <c r="C326" s="50"/>
      <c r="D326" s="50"/>
      <c r="E326" s="50"/>
      <c r="F326" s="51"/>
    </row>
    <row r="327">
      <c r="A327" s="50"/>
      <c r="B327" s="50"/>
      <c r="C327" s="50"/>
      <c r="D327" s="50"/>
      <c r="E327" s="50"/>
      <c r="F327" s="51"/>
    </row>
    <row r="328">
      <c r="A328" s="50"/>
      <c r="B328" s="50"/>
      <c r="C328" s="50"/>
      <c r="D328" s="50"/>
      <c r="E328" s="50"/>
      <c r="F328" s="51"/>
    </row>
    <row r="329">
      <c r="A329" s="50"/>
      <c r="B329" s="50"/>
      <c r="C329" s="50"/>
      <c r="D329" s="50"/>
      <c r="E329" s="50"/>
      <c r="F329" s="51"/>
    </row>
    <row r="330">
      <c r="A330" s="50"/>
      <c r="B330" s="50"/>
      <c r="C330" s="50"/>
      <c r="D330" s="50"/>
      <c r="E330" s="50"/>
      <c r="F330" s="51"/>
    </row>
    <row r="331">
      <c r="A331" s="50"/>
      <c r="B331" s="50"/>
      <c r="C331" s="50"/>
      <c r="D331" s="50"/>
      <c r="E331" s="50"/>
      <c r="F331" s="51"/>
    </row>
    <row r="332">
      <c r="A332" s="50"/>
      <c r="B332" s="50"/>
      <c r="C332" s="50"/>
      <c r="D332" s="50"/>
      <c r="E332" s="50"/>
      <c r="F332" s="51"/>
    </row>
    <row r="333">
      <c r="A333" s="50"/>
      <c r="B333" s="50"/>
      <c r="C333" s="50"/>
      <c r="D333" s="50"/>
      <c r="E333" s="50"/>
      <c r="F333" s="51"/>
    </row>
    <row r="334">
      <c r="A334" s="50"/>
      <c r="B334" s="50"/>
      <c r="C334" s="50"/>
      <c r="D334" s="50"/>
      <c r="E334" s="50"/>
      <c r="F334" s="51"/>
    </row>
    <row r="335">
      <c r="A335" s="50"/>
      <c r="B335" s="50"/>
      <c r="C335" s="50"/>
      <c r="D335" s="50"/>
      <c r="E335" s="50"/>
      <c r="F335" s="51"/>
    </row>
    <row r="336">
      <c r="A336" s="50"/>
      <c r="B336" s="50"/>
      <c r="C336" s="50"/>
      <c r="D336" s="50"/>
      <c r="E336" s="50"/>
      <c r="F336" s="51"/>
    </row>
    <row r="337">
      <c r="A337" s="50"/>
      <c r="B337" s="50"/>
      <c r="C337" s="50"/>
      <c r="D337" s="50"/>
      <c r="E337" s="50"/>
      <c r="F337" s="51"/>
    </row>
    <row r="338">
      <c r="A338" s="50"/>
      <c r="B338" s="50"/>
      <c r="C338" s="50"/>
      <c r="D338" s="50"/>
      <c r="E338" s="50"/>
      <c r="F338" s="51"/>
    </row>
    <row r="339">
      <c r="A339" s="50"/>
      <c r="B339" s="50"/>
      <c r="C339" s="50"/>
      <c r="D339" s="50"/>
      <c r="E339" s="50"/>
      <c r="F339" s="51"/>
    </row>
    <row r="340">
      <c r="A340" s="50"/>
      <c r="B340" s="50"/>
      <c r="C340" s="50"/>
      <c r="D340" s="50"/>
      <c r="E340" s="50"/>
      <c r="F340" s="51"/>
    </row>
    <row r="341">
      <c r="A341" s="50"/>
      <c r="B341" s="50"/>
      <c r="C341" s="50"/>
      <c r="D341" s="50"/>
      <c r="E341" s="50"/>
      <c r="F341" s="51"/>
    </row>
    <row r="342">
      <c r="A342" s="50"/>
      <c r="B342" s="50"/>
      <c r="C342" s="50"/>
      <c r="D342" s="50"/>
      <c r="E342" s="50"/>
      <c r="F342" s="51"/>
    </row>
    <row r="343">
      <c r="A343" s="50"/>
      <c r="B343" s="50"/>
      <c r="C343" s="50"/>
      <c r="D343" s="50"/>
      <c r="E343" s="50"/>
      <c r="F343" s="51"/>
    </row>
    <row r="344">
      <c r="A344" s="50"/>
      <c r="B344" s="50"/>
      <c r="C344" s="50"/>
      <c r="D344" s="50"/>
      <c r="E344" s="50"/>
      <c r="F344" s="51"/>
    </row>
    <row r="345">
      <c r="A345" s="50"/>
      <c r="B345" s="50"/>
      <c r="C345" s="50"/>
      <c r="D345" s="50"/>
      <c r="E345" s="50"/>
      <c r="F345" s="51"/>
    </row>
    <row r="346">
      <c r="A346" s="50"/>
      <c r="B346" s="50"/>
      <c r="C346" s="50"/>
      <c r="D346" s="50"/>
      <c r="E346" s="50"/>
      <c r="F346" s="51"/>
    </row>
    <row r="347">
      <c r="A347" s="50"/>
      <c r="B347" s="50"/>
      <c r="C347" s="50"/>
      <c r="D347" s="50"/>
      <c r="E347" s="50"/>
      <c r="F347" s="51"/>
    </row>
    <row r="348">
      <c r="A348" s="50"/>
      <c r="B348" s="50"/>
      <c r="C348" s="50"/>
      <c r="D348" s="50"/>
      <c r="E348" s="50"/>
      <c r="F348" s="51"/>
    </row>
    <row r="349">
      <c r="A349" s="50"/>
      <c r="B349" s="50"/>
      <c r="C349" s="50"/>
      <c r="D349" s="50"/>
      <c r="E349" s="50"/>
      <c r="F349" s="51"/>
    </row>
    <row r="350">
      <c r="A350" s="50"/>
      <c r="B350" s="50"/>
      <c r="C350" s="50"/>
      <c r="D350" s="50"/>
      <c r="E350" s="50"/>
      <c r="F350" s="51"/>
    </row>
    <row r="351">
      <c r="A351" s="50"/>
      <c r="B351" s="50"/>
      <c r="C351" s="50"/>
      <c r="D351" s="50"/>
      <c r="E351" s="50"/>
      <c r="F351" s="51"/>
    </row>
    <row r="352">
      <c r="A352" s="50"/>
      <c r="B352" s="50"/>
      <c r="C352" s="50"/>
      <c r="D352" s="50"/>
      <c r="E352" s="50"/>
      <c r="F352" s="51"/>
    </row>
    <row r="353">
      <c r="A353" s="50"/>
      <c r="B353" s="50"/>
      <c r="C353" s="50"/>
      <c r="D353" s="50"/>
      <c r="E353" s="50"/>
      <c r="F353" s="51"/>
    </row>
    <row r="354">
      <c r="A354" s="50"/>
      <c r="B354" s="50"/>
      <c r="C354" s="50"/>
      <c r="D354" s="50"/>
      <c r="E354" s="50"/>
      <c r="F354" s="51"/>
    </row>
    <row r="355">
      <c r="A355" s="50"/>
      <c r="B355" s="50"/>
      <c r="C355" s="50"/>
      <c r="D355" s="50"/>
      <c r="E355" s="50"/>
      <c r="F355" s="51"/>
    </row>
    <row r="356">
      <c r="A356" s="50"/>
      <c r="B356" s="50"/>
      <c r="C356" s="50"/>
      <c r="D356" s="50"/>
      <c r="E356" s="50"/>
      <c r="F356" s="51"/>
    </row>
    <row r="357">
      <c r="A357" s="50"/>
      <c r="B357" s="50"/>
      <c r="C357" s="50"/>
      <c r="D357" s="50"/>
      <c r="E357" s="50"/>
      <c r="F357" s="51"/>
    </row>
    <row r="358">
      <c r="A358" s="50"/>
      <c r="B358" s="50"/>
      <c r="C358" s="50"/>
      <c r="D358" s="50"/>
      <c r="E358" s="50"/>
      <c r="F358" s="51"/>
    </row>
    <row r="359">
      <c r="A359" s="50"/>
      <c r="B359" s="50"/>
      <c r="C359" s="50"/>
      <c r="D359" s="50"/>
      <c r="E359" s="50"/>
      <c r="F359" s="51"/>
    </row>
    <row r="360">
      <c r="A360" s="50"/>
      <c r="B360" s="50"/>
      <c r="C360" s="50"/>
      <c r="D360" s="50"/>
      <c r="E360" s="50"/>
      <c r="F360" s="51"/>
    </row>
    <row r="361">
      <c r="A361" s="50"/>
      <c r="B361" s="50"/>
      <c r="C361" s="50"/>
      <c r="D361" s="50"/>
      <c r="E361" s="50"/>
      <c r="F361" s="51"/>
    </row>
    <row r="362">
      <c r="A362" s="50"/>
      <c r="B362" s="50"/>
      <c r="C362" s="50"/>
      <c r="D362" s="50"/>
      <c r="E362" s="50"/>
      <c r="F362" s="51"/>
    </row>
    <row r="363">
      <c r="A363" s="50"/>
      <c r="B363" s="50"/>
      <c r="C363" s="50"/>
      <c r="D363" s="50"/>
      <c r="E363" s="50"/>
      <c r="F363" s="51"/>
    </row>
    <row r="364">
      <c r="A364" s="50"/>
      <c r="B364" s="50"/>
      <c r="C364" s="50"/>
      <c r="D364" s="50"/>
      <c r="E364" s="50"/>
      <c r="F364" s="51"/>
    </row>
    <row r="365">
      <c r="A365" s="50"/>
      <c r="B365" s="50"/>
      <c r="C365" s="50"/>
      <c r="D365" s="50"/>
      <c r="E365" s="50"/>
      <c r="F365" s="51"/>
    </row>
    <row r="366">
      <c r="A366" s="50"/>
      <c r="B366" s="50"/>
      <c r="C366" s="50"/>
      <c r="D366" s="50"/>
      <c r="E366" s="50"/>
      <c r="F366" s="51"/>
    </row>
    <row r="367">
      <c r="A367" s="50"/>
      <c r="B367" s="50"/>
      <c r="C367" s="50"/>
      <c r="D367" s="50"/>
      <c r="E367" s="50"/>
      <c r="F367" s="51"/>
    </row>
    <row r="368">
      <c r="A368" s="50"/>
      <c r="B368" s="50"/>
      <c r="C368" s="50"/>
      <c r="D368" s="50"/>
      <c r="E368" s="50"/>
      <c r="F368" s="51"/>
    </row>
    <row r="369">
      <c r="A369" s="50"/>
      <c r="B369" s="50"/>
      <c r="C369" s="50"/>
      <c r="D369" s="50"/>
      <c r="E369" s="50"/>
      <c r="F369" s="51"/>
    </row>
    <row r="370">
      <c r="A370" s="50"/>
      <c r="B370" s="50"/>
      <c r="C370" s="50"/>
      <c r="D370" s="50"/>
      <c r="E370" s="50"/>
      <c r="F370" s="51"/>
    </row>
    <row r="371">
      <c r="A371" s="50"/>
      <c r="B371" s="50"/>
      <c r="C371" s="50"/>
      <c r="D371" s="50"/>
      <c r="E371" s="50"/>
      <c r="F371" s="51"/>
    </row>
    <row r="372">
      <c r="A372" s="50"/>
      <c r="B372" s="50"/>
      <c r="C372" s="50"/>
      <c r="D372" s="50"/>
      <c r="E372" s="50"/>
      <c r="F372" s="51"/>
    </row>
    <row r="373">
      <c r="A373" s="50"/>
      <c r="B373" s="50"/>
      <c r="C373" s="50"/>
      <c r="D373" s="50"/>
      <c r="E373" s="50"/>
      <c r="F373" s="51"/>
    </row>
    <row r="374">
      <c r="A374" s="50"/>
      <c r="B374" s="50"/>
      <c r="C374" s="50"/>
      <c r="D374" s="50"/>
      <c r="E374" s="50"/>
      <c r="F374" s="51"/>
    </row>
    <row r="375">
      <c r="A375" s="50"/>
      <c r="B375" s="50"/>
      <c r="C375" s="50"/>
      <c r="D375" s="50"/>
      <c r="E375" s="50"/>
      <c r="F375" s="51"/>
    </row>
    <row r="376">
      <c r="A376" s="50"/>
      <c r="B376" s="50"/>
      <c r="C376" s="50"/>
      <c r="D376" s="50"/>
      <c r="E376" s="50"/>
      <c r="F376" s="51"/>
    </row>
    <row r="377">
      <c r="A377" s="50"/>
      <c r="B377" s="50"/>
      <c r="C377" s="50"/>
      <c r="D377" s="50"/>
      <c r="E377" s="50"/>
      <c r="F377" s="51"/>
    </row>
    <row r="378">
      <c r="A378" s="50"/>
      <c r="B378" s="50"/>
      <c r="C378" s="50"/>
      <c r="D378" s="50"/>
      <c r="E378" s="50"/>
      <c r="F378" s="51"/>
    </row>
    <row r="379">
      <c r="A379" s="50"/>
      <c r="B379" s="50"/>
      <c r="C379" s="50"/>
      <c r="D379" s="50"/>
      <c r="E379" s="50"/>
      <c r="F379" s="51"/>
    </row>
    <row r="380">
      <c r="A380" s="50"/>
      <c r="B380" s="50"/>
      <c r="C380" s="50"/>
      <c r="D380" s="50"/>
      <c r="E380" s="50"/>
      <c r="F380" s="51"/>
    </row>
    <row r="381">
      <c r="A381" s="50"/>
      <c r="B381" s="50"/>
      <c r="C381" s="50"/>
      <c r="D381" s="50"/>
      <c r="E381" s="50"/>
      <c r="F381" s="51"/>
    </row>
    <row r="382">
      <c r="A382" s="50"/>
      <c r="B382" s="50"/>
      <c r="C382" s="50"/>
      <c r="D382" s="50"/>
      <c r="E382" s="50"/>
      <c r="F382" s="51"/>
    </row>
    <row r="383">
      <c r="A383" s="50"/>
      <c r="B383" s="50"/>
      <c r="C383" s="50"/>
      <c r="D383" s="50"/>
      <c r="E383" s="50"/>
      <c r="F383" s="51"/>
    </row>
    <row r="384">
      <c r="A384" s="50"/>
      <c r="B384" s="50"/>
      <c r="C384" s="50"/>
      <c r="D384" s="50"/>
      <c r="E384" s="50"/>
      <c r="F384" s="51"/>
    </row>
    <row r="385">
      <c r="A385" s="50"/>
      <c r="B385" s="50"/>
      <c r="C385" s="50"/>
      <c r="D385" s="50"/>
      <c r="E385" s="50"/>
      <c r="F385" s="51"/>
    </row>
    <row r="386">
      <c r="A386" s="50"/>
      <c r="B386" s="50"/>
      <c r="C386" s="50"/>
      <c r="D386" s="50"/>
      <c r="E386" s="50"/>
      <c r="F386" s="51"/>
    </row>
    <row r="387">
      <c r="A387" s="50"/>
      <c r="B387" s="50"/>
      <c r="C387" s="50"/>
      <c r="D387" s="50"/>
      <c r="E387" s="50"/>
      <c r="F387" s="51"/>
    </row>
    <row r="388">
      <c r="A388" s="50"/>
      <c r="B388" s="50"/>
      <c r="C388" s="50"/>
      <c r="D388" s="50"/>
      <c r="E388" s="50"/>
      <c r="F388" s="51"/>
    </row>
    <row r="389">
      <c r="A389" s="50"/>
      <c r="B389" s="50"/>
      <c r="C389" s="50"/>
      <c r="D389" s="50"/>
      <c r="E389" s="50"/>
      <c r="F389" s="51"/>
    </row>
    <row r="390">
      <c r="A390" s="50"/>
      <c r="B390" s="50"/>
      <c r="C390" s="50"/>
      <c r="D390" s="50"/>
      <c r="E390" s="50"/>
      <c r="F390" s="51"/>
    </row>
    <row r="391">
      <c r="A391" s="50"/>
      <c r="B391" s="50"/>
      <c r="C391" s="50"/>
      <c r="D391" s="50"/>
      <c r="E391" s="50"/>
      <c r="F391" s="51"/>
    </row>
    <row r="392">
      <c r="A392" s="50"/>
      <c r="B392" s="50"/>
      <c r="C392" s="50"/>
      <c r="D392" s="50"/>
      <c r="E392" s="50"/>
      <c r="F392" s="51"/>
    </row>
    <row r="393">
      <c r="A393" s="50"/>
      <c r="B393" s="50"/>
      <c r="C393" s="50"/>
      <c r="D393" s="50"/>
      <c r="E393" s="50"/>
      <c r="F393" s="51"/>
    </row>
    <row r="394">
      <c r="A394" s="50"/>
      <c r="B394" s="50"/>
      <c r="C394" s="50"/>
      <c r="D394" s="50"/>
      <c r="E394" s="50"/>
      <c r="F394" s="51"/>
    </row>
    <row r="395">
      <c r="A395" s="50"/>
      <c r="B395" s="50"/>
      <c r="C395" s="50"/>
      <c r="D395" s="50"/>
      <c r="E395" s="50"/>
      <c r="F395" s="51"/>
    </row>
    <row r="396">
      <c r="A396" s="50"/>
      <c r="B396" s="50"/>
      <c r="C396" s="50"/>
      <c r="D396" s="50"/>
      <c r="E396" s="50"/>
      <c r="F396" s="51"/>
    </row>
    <row r="397">
      <c r="A397" s="50"/>
      <c r="B397" s="50"/>
      <c r="C397" s="50"/>
      <c r="D397" s="50"/>
      <c r="E397" s="50"/>
      <c r="F397" s="51"/>
    </row>
    <row r="398">
      <c r="A398" s="50"/>
      <c r="B398" s="50"/>
      <c r="C398" s="50"/>
      <c r="D398" s="50"/>
      <c r="E398" s="50"/>
      <c r="F398" s="51"/>
    </row>
    <row r="399">
      <c r="A399" s="50"/>
      <c r="B399" s="50"/>
      <c r="C399" s="50"/>
      <c r="D399" s="50"/>
      <c r="E399" s="50"/>
      <c r="F399" s="51"/>
    </row>
    <row r="400">
      <c r="A400" s="50"/>
      <c r="B400" s="50"/>
      <c r="C400" s="50"/>
      <c r="D400" s="50"/>
      <c r="E400" s="50"/>
      <c r="F400" s="51"/>
    </row>
    <row r="401">
      <c r="A401" s="50"/>
      <c r="B401" s="50"/>
      <c r="C401" s="50"/>
      <c r="D401" s="50"/>
      <c r="E401" s="50"/>
      <c r="F401" s="51"/>
    </row>
    <row r="402">
      <c r="A402" s="50"/>
      <c r="B402" s="50"/>
      <c r="C402" s="50"/>
      <c r="D402" s="50"/>
      <c r="E402" s="50"/>
      <c r="F402" s="51"/>
    </row>
    <row r="403">
      <c r="A403" s="50"/>
      <c r="B403" s="50"/>
      <c r="C403" s="50"/>
      <c r="D403" s="50"/>
      <c r="E403" s="50"/>
      <c r="F403" s="51"/>
    </row>
    <row r="404">
      <c r="A404" s="50"/>
      <c r="B404" s="50"/>
      <c r="C404" s="50"/>
      <c r="D404" s="50"/>
      <c r="E404" s="50"/>
      <c r="F404" s="51"/>
    </row>
    <row r="405">
      <c r="A405" s="50"/>
      <c r="B405" s="50"/>
      <c r="C405" s="50"/>
      <c r="D405" s="50"/>
      <c r="E405" s="50"/>
      <c r="F405" s="51"/>
    </row>
    <row r="406">
      <c r="A406" s="50"/>
      <c r="B406" s="50"/>
      <c r="C406" s="50"/>
      <c r="D406" s="50"/>
      <c r="E406" s="50"/>
      <c r="F406" s="51"/>
    </row>
    <row r="407">
      <c r="A407" s="50"/>
      <c r="B407" s="50"/>
      <c r="C407" s="50"/>
      <c r="D407" s="50"/>
      <c r="E407" s="50"/>
      <c r="F407" s="51"/>
    </row>
    <row r="408">
      <c r="A408" s="50"/>
      <c r="B408" s="50"/>
      <c r="C408" s="50"/>
      <c r="D408" s="50"/>
      <c r="E408" s="50"/>
      <c r="F408" s="51"/>
    </row>
    <row r="409">
      <c r="A409" s="50"/>
      <c r="B409" s="50"/>
      <c r="C409" s="50"/>
      <c r="D409" s="50"/>
      <c r="E409" s="50"/>
      <c r="F409" s="51"/>
    </row>
    <row r="410">
      <c r="A410" s="50"/>
      <c r="B410" s="50"/>
      <c r="C410" s="50"/>
      <c r="D410" s="50"/>
      <c r="E410" s="50"/>
      <c r="F410" s="51"/>
    </row>
    <row r="411">
      <c r="A411" s="50"/>
      <c r="B411" s="50"/>
      <c r="C411" s="50"/>
      <c r="D411" s="50"/>
      <c r="E411" s="50"/>
      <c r="F411" s="51"/>
    </row>
    <row r="412">
      <c r="A412" s="50"/>
      <c r="B412" s="50"/>
      <c r="C412" s="50"/>
      <c r="D412" s="50"/>
      <c r="E412" s="50"/>
      <c r="F412" s="51"/>
    </row>
    <row r="413">
      <c r="A413" s="50"/>
      <c r="B413" s="50"/>
      <c r="C413" s="50"/>
      <c r="D413" s="50"/>
      <c r="E413" s="50"/>
      <c r="F413" s="51"/>
    </row>
    <row r="414">
      <c r="A414" s="50"/>
      <c r="B414" s="50"/>
      <c r="C414" s="50"/>
      <c r="D414" s="50"/>
      <c r="E414" s="50"/>
      <c r="F414" s="51"/>
    </row>
    <row r="415">
      <c r="A415" s="50"/>
      <c r="B415" s="50"/>
      <c r="C415" s="50"/>
      <c r="D415" s="50"/>
      <c r="E415" s="50"/>
      <c r="F415" s="51"/>
    </row>
    <row r="416">
      <c r="A416" s="50"/>
      <c r="B416" s="50"/>
      <c r="C416" s="50"/>
      <c r="D416" s="50"/>
      <c r="E416" s="50"/>
      <c r="F416" s="51"/>
    </row>
    <row r="417">
      <c r="A417" s="50"/>
      <c r="B417" s="50"/>
      <c r="C417" s="50"/>
      <c r="D417" s="50"/>
      <c r="E417" s="50"/>
      <c r="F417" s="51"/>
    </row>
    <row r="418">
      <c r="A418" s="50"/>
      <c r="B418" s="50"/>
      <c r="C418" s="50"/>
      <c r="D418" s="50"/>
      <c r="E418" s="50"/>
      <c r="F418" s="51"/>
    </row>
    <row r="419">
      <c r="A419" s="50"/>
      <c r="B419" s="50"/>
      <c r="C419" s="50"/>
      <c r="D419" s="50"/>
      <c r="E419" s="50"/>
      <c r="F419" s="51"/>
    </row>
    <row r="420">
      <c r="A420" s="50"/>
      <c r="B420" s="50"/>
      <c r="C420" s="50"/>
      <c r="D420" s="50"/>
      <c r="E420" s="50"/>
      <c r="F420" s="51"/>
    </row>
    <row r="421">
      <c r="A421" s="50"/>
      <c r="B421" s="50"/>
      <c r="C421" s="50"/>
      <c r="D421" s="50"/>
      <c r="E421" s="50"/>
      <c r="F421" s="51"/>
    </row>
    <row r="422">
      <c r="A422" s="50"/>
      <c r="B422" s="50"/>
      <c r="C422" s="50"/>
      <c r="D422" s="50"/>
      <c r="E422" s="50"/>
      <c r="F422" s="51"/>
    </row>
    <row r="423">
      <c r="A423" s="50"/>
      <c r="B423" s="50"/>
      <c r="C423" s="50"/>
      <c r="D423" s="50"/>
      <c r="E423" s="50"/>
      <c r="F423" s="51"/>
    </row>
    <row r="424">
      <c r="A424" s="50"/>
      <c r="B424" s="50"/>
      <c r="C424" s="50"/>
      <c r="D424" s="50"/>
      <c r="E424" s="50"/>
      <c r="F424" s="51"/>
    </row>
    <row r="425">
      <c r="A425" s="50"/>
      <c r="B425" s="50"/>
      <c r="C425" s="50"/>
      <c r="D425" s="50"/>
      <c r="E425" s="50"/>
      <c r="F425" s="51"/>
    </row>
    <row r="426">
      <c r="A426" s="50"/>
      <c r="B426" s="50"/>
      <c r="C426" s="50"/>
      <c r="D426" s="50"/>
      <c r="E426" s="50"/>
      <c r="F426" s="51"/>
    </row>
    <row r="427">
      <c r="A427" s="50"/>
      <c r="B427" s="50"/>
      <c r="C427" s="50"/>
      <c r="D427" s="50"/>
      <c r="E427" s="50"/>
      <c r="F427" s="51"/>
    </row>
    <row r="428">
      <c r="A428" s="50"/>
      <c r="B428" s="50"/>
      <c r="C428" s="50"/>
      <c r="D428" s="50"/>
      <c r="E428" s="50"/>
      <c r="F428" s="51"/>
    </row>
    <row r="429">
      <c r="A429" s="50"/>
      <c r="B429" s="50"/>
      <c r="C429" s="50"/>
      <c r="D429" s="50"/>
      <c r="E429" s="50"/>
      <c r="F429" s="51"/>
    </row>
    <row r="430">
      <c r="A430" s="50"/>
      <c r="B430" s="50"/>
      <c r="C430" s="50"/>
      <c r="D430" s="50"/>
      <c r="E430" s="50"/>
      <c r="F430" s="51"/>
    </row>
    <row r="431">
      <c r="A431" s="50"/>
      <c r="B431" s="50"/>
      <c r="C431" s="50"/>
      <c r="D431" s="50"/>
      <c r="E431" s="50"/>
      <c r="F431" s="51"/>
    </row>
    <row r="432">
      <c r="A432" s="50"/>
      <c r="B432" s="50"/>
      <c r="C432" s="50"/>
      <c r="D432" s="50"/>
      <c r="E432" s="50"/>
      <c r="F432" s="51"/>
    </row>
    <row r="433">
      <c r="A433" s="50"/>
      <c r="B433" s="50"/>
      <c r="C433" s="50"/>
      <c r="D433" s="50"/>
      <c r="E433" s="50"/>
      <c r="F433" s="51"/>
    </row>
    <row r="434">
      <c r="A434" s="50"/>
      <c r="B434" s="50"/>
      <c r="C434" s="50"/>
      <c r="D434" s="50"/>
      <c r="E434" s="50"/>
      <c r="F434" s="51"/>
    </row>
    <row r="435">
      <c r="A435" s="50"/>
      <c r="B435" s="50"/>
      <c r="C435" s="50"/>
      <c r="D435" s="50"/>
      <c r="E435" s="50"/>
      <c r="F435" s="51"/>
    </row>
    <row r="436">
      <c r="A436" s="50"/>
      <c r="B436" s="50"/>
      <c r="C436" s="50"/>
      <c r="D436" s="50"/>
      <c r="E436" s="50"/>
      <c r="F436" s="51"/>
    </row>
    <row r="437">
      <c r="A437" s="50"/>
      <c r="B437" s="50"/>
      <c r="C437" s="50"/>
      <c r="D437" s="50"/>
      <c r="E437" s="50"/>
      <c r="F437" s="51"/>
    </row>
    <row r="438">
      <c r="A438" s="50"/>
      <c r="B438" s="50"/>
      <c r="C438" s="50"/>
      <c r="D438" s="50"/>
      <c r="E438" s="50"/>
      <c r="F438" s="51"/>
    </row>
    <row r="439">
      <c r="A439" s="50"/>
      <c r="B439" s="50"/>
      <c r="C439" s="50"/>
      <c r="D439" s="50"/>
      <c r="E439" s="50"/>
      <c r="F439" s="51"/>
    </row>
    <row r="440">
      <c r="A440" s="50"/>
      <c r="B440" s="50"/>
      <c r="C440" s="50"/>
      <c r="D440" s="50"/>
      <c r="E440" s="50"/>
      <c r="F440" s="51"/>
    </row>
    <row r="441">
      <c r="A441" s="50"/>
      <c r="B441" s="50"/>
      <c r="C441" s="50"/>
      <c r="D441" s="50"/>
      <c r="E441" s="50"/>
      <c r="F441" s="51"/>
    </row>
    <row r="442">
      <c r="A442" s="50"/>
      <c r="B442" s="50"/>
      <c r="C442" s="50"/>
      <c r="D442" s="50"/>
      <c r="E442" s="50"/>
      <c r="F442" s="51"/>
    </row>
    <row r="443">
      <c r="A443" s="50"/>
      <c r="B443" s="50"/>
      <c r="C443" s="50"/>
      <c r="D443" s="50"/>
      <c r="E443" s="50"/>
      <c r="F443" s="51"/>
    </row>
    <row r="444">
      <c r="A444" s="50"/>
      <c r="B444" s="50"/>
      <c r="C444" s="50"/>
      <c r="D444" s="50"/>
      <c r="E444" s="50"/>
      <c r="F444" s="51"/>
    </row>
    <row r="445">
      <c r="A445" s="50"/>
      <c r="B445" s="50"/>
      <c r="C445" s="50"/>
      <c r="D445" s="50"/>
      <c r="E445" s="50"/>
      <c r="F445" s="51"/>
    </row>
    <row r="446">
      <c r="A446" s="50"/>
      <c r="B446" s="50"/>
      <c r="C446" s="50"/>
      <c r="D446" s="50"/>
      <c r="E446" s="50"/>
      <c r="F446" s="51"/>
    </row>
    <row r="447">
      <c r="A447" s="50"/>
      <c r="B447" s="50"/>
      <c r="C447" s="50"/>
      <c r="D447" s="50"/>
      <c r="E447" s="50"/>
      <c r="F447" s="51"/>
    </row>
    <row r="448">
      <c r="A448" s="50"/>
      <c r="B448" s="50"/>
      <c r="C448" s="50"/>
      <c r="D448" s="50"/>
      <c r="E448" s="50"/>
      <c r="F448" s="51"/>
    </row>
    <row r="449">
      <c r="A449" s="50"/>
      <c r="B449" s="50"/>
      <c r="C449" s="50"/>
      <c r="D449" s="50"/>
      <c r="E449" s="50"/>
      <c r="F449" s="51"/>
    </row>
    <row r="450">
      <c r="A450" s="50"/>
      <c r="B450" s="50"/>
      <c r="C450" s="50"/>
      <c r="D450" s="50"/>
      <c r="E450" s="50"/>
      <c r="F450" s="51"/>
    </row>
    <row r="451">
      <c r="A451" s="50"/>
      <c r="B451" s="50"/>
      <c r="C451" s="50"/>
      <c r="D451" s="50"/>
      <c r="E451" s="50"/>
      <c r="F451" s="51"/>
    </row>
    <row r="452">
      <c r="A452" s="50"/>
      <c r="B452" s="50"/>
      <c r="C452" s="50"/>
      <c r="D452" s="50"/>
      <c r="E452" s="50"/>
      <c r="F452" s="51"/>
    </row>
    <row r="453">
      <c r="A453" s="50"/>
      <c r="B453" s="50"/>
      <c r="C453" s="50"/>
      <c r="D453" s="50"/>
      <c r="E453" s="50"/>
      <c r="F453" s="51"/>
    </row>
    <row r="454">
      <c r="A454" s="50"/>
      <c r="B454" s="50"/>
      <c r="C454" s="50"/>
      <c r="D454" s="50"/>
      <c r="E454" s="50"/>
      <c r="F454" s="51"/>
    </row>
    <row r="455">
      <c r="A455" s="50"/>
      <c r="B455" s="50"/>
      <c r="C455" s="50"/>
      <c r="D455" s="50"/>
      <c r="E455" s="50"/>
      <c r="F455" s="51"/>
    </row>
    <row r="456">
      <c r="A456" s="50"/>
      <c r="B456" s="50"/>
      <c r="C456" s="50"/>
      <c r="D456" s="50"/>
      <c r="E456" s="50"/>
      <c r="F456" s="51"/>
    </row>
    <row r="457">
      <c r="A457" s="50"/>
      <c r="B457" s="50"/>
      <c r="C457" s="50"/>
      <c r="D457" s="50"/>
      <c r="E457" s="50"/>
      <c r="F457" s="51"/>
    </row>
    <row r="458">
      <c r="A458" s="50"/>
      <c r="B458" s="50"/>
      <c r="C458" s="50"/>
      <c r="D458" s="50"/>
      <c r="E458" s="50"/>
      <c r="F458" s="51"/>
    </row>
    <row r="459">
      <c r="A459" s="50"/>
      <c r="B459" s="50"/>
      <c r="C459" s="50"/>
      <c r="D459" s="50"/>
      <c r="E459" s="50"/>
      <c r="F459" s="51"/>
    </row>
    <row r="460">
      <c r="A460" s="50"/>
      <c r="B460" s="50"/>
      <c r="C460" s="50"/>
      <c r="D460" s="50"/>
      <c r="E460" s="50"/>
      <c r="F460" s="51"/>
    </row>
    <row r="461">
      <c r="A461" s="50"/>
      <c r="B461" s="50"/>
      <c r="C461" s="50"/>
      <c r="D461" s="50"/>
      <c r="E461" s="50"/>
      <c r="F461" s="51"/>
    </row>
    <row r="462">
      <c r="A462" s="50"/>
      <c r="B462" s="50"/>
      <c r="C462" s="50"/>
      <c r="D462" s="50"/>
      <c r="E462" s="50"/>
      <c r="F462" s="51"/>
    </row>
    <row r="463">
      <c r="A463" s="50"/>
      <c r="B463" s="50"/>
      <c r="C463" s="50"/>
      <c r="D463" s="50"/>
      <c r="E463" s="50"/>
      <c r="F463" s="51"/>
    </row>
    <row r="464">
      <c r="A464" s="50"/>
      <c r="B464" s="50"/>
      <c r="C464" s="50"/>
      <c r="D464" s="50"/>
      <c r="E464" s="50"/>
      <c r="F464" s="51"/>
    </row>
    <row r="465">
      <c r="A465" s="50"/>
      <c r="B465" s="50"/>
      <c r="C465" s="50"/>
      <c r="D465" s="50"/>
      <c r="E465" s="50"/>
      <c r="F465" s="51"/>
    </row>
    <row r="466">
      <c r="A466" s="50"/>
      <c r="B466" s="50"/>
      <c r="C466" s="50"/>
      <c r="D466" s="50"/>
      <c r="E466" s="50"/>
      <c r="F466" s="51"/>
    </row>
    <row r="467">
      <c r="A467" s="50"/>
      <c r="B467" s="50"/>
      <c r="C467" s="50"/>
      <c r="D467" s="50"/>
      <c r="E467" s="50"/>
      <c r="F467" s="51"/>
    </row>
    <row r="468">
      <c r="A468" s="50"/>
      <c r="B468" s="50"/>
      <c r="C468" s="50"/>
      <c r="D468" s="50"/>
      <c r="E468" s="50"/>
      <c r="F468" s="51"/>
    </row>
    <row r="469">
      <c r="A469" s="50"/>
      <c r="B469" s="50"/>
      <c r="C469" s="50"/>
      <c r="D469" s="50"/>
      <c r="E469" s="50"/>
      <c r="F469" s="51"/>
    </row>
    <row r="470">
      <c r="A470" s="50"/>
      <c r="B470" s="50"/>
      <c r="C470" s="50"/>
      <c r="D470" s="50"/>
      <c r="E470" s="50"/>
      <c r="F470" s="51"/>
    </row>
    <row r="471">
      <c r="A471" s="50"/>
      <c r="B471" s="50"/>
      <c r="C471" s="50"/>
      <c r="D471" s="50"/>
      <c r="E471" s="50"/>
      <c r="F471" s="51"/>
    </row>
    <row r="472">
      <c r="A472" s="50"/>
      <c r="B472" s="50"/>
      <c r="C472" s="50"/>
      <c r="D472" s="50"/>
      <c r="E472" s="50"/>
      <c r="F472" s="51"/>
    </row>
    <row r="473">
      <c r="A473" s="50"/>
      <c r="B473" s="50"/>
      <c r="C473" s="50"/>
      <c r="D473" s="50"/>
      <c r="E473" s="50"/>
      <c r="F473" s="51"/>
    </row>
    <row r="474">
      <c r="A474" s="50"/>
      <c r="B474" s="50"/>
      <c r="C474" s="50"/>
      <c r="D474" s="50"/>
      <c r="E474" s="50"/>
      <c r="F474" s="51"/>
    </row>
    <row r="475">
      <c r="A475" s="50"/>
      <c r="B475" s="50"/>
      <c r="C475" s="50"/>
      <c r="D475" s="50"/>
      <c r="E475" s="50"/>
      <c r="F475" s="51"/>
    </row>
    <row r="476">
      <c r="A476" s="50"/>
      <c r="B476" s="50"/>
      <c r="C476" s="50"/>
      <c r="D476" s="50"/>
      <c r="E476" s="50"/>
      <c r="F476" s="51"/>
    </row>
    <row r="477">
      <c r="A477" s="50"/>
      <c r="B477" s="50"/>
      <c r="C477" s="50"/>
      <c r="D477" s="50"/>
      <c r="E477" s="50"/>
      <c r="F477" s="51"/>
    </row>
    <row r="478">
      <c r="A478" s="50"/>
      <c r="B478" s="50"/>
      <c r="C478" s="50"/>
      <c r="D478" s="50"/>
      <c r="E478" s="50"/>
      <c r="F478" s="51"/>
    </row>
    <row r="479">
      <c r="A479" s="50"/>
      <c r="B479" s="50"/>
      <c r="C479" s="50"/>
      <c r="D479" s="50"/>
      <c r="E479" s="50"/>
      <c r="F479" s="51"/>
    </row>
    <row r="480">
      <c r="A480" s="50"/>
      <c r="B480" s="50"/>
      <c r="C480" s="50"/>
      <c r="D480" s="50"/>
      <c r="E480" s="50"/>
      <c r="F480" s="51"/>
    </row>
    <row r="481">
      <c r="A481" s="50"/>
      <c r="B481" s="50"/>
      <c r="C481" s="50"/>
      <c r="D481" s="50"/>
      <c r="E481" s="50"/>
      <c r="F481" s="51"/>
    </row>
    <row r="482">
      <c r="A482" s="50"/>
      <c r="B482" s="50"/>
      <c r="C482" s="50"/>
      <c r="D482" s="50"/>
      <c r="E482" s="50"/>
      <c r="F482" s="51"/>
    </row>
    <row r="483">
      <c r="A483" s="50"/>
      <c r="B483" s="50"/>
      <c r="C483" s="50"/>
      <c r="D483" s="50"/>
      <c r="E483" s="50"/>
      <c r="F483" s="51"/>
    </row>
    <row r="484">
      <c r="A484" s="50"/>
      <c r="B484" s="50"/>
      <c r="C484" s="50"/>
      <c r="D484" s="50"/>
      <c r="E484" s="50"/>
      <c r="F484" s="51"/>
    </row>
    <row r="485">
      <c r="A485" s="50"/>
      <c r="B485" s="50"/>
      <c r="C485" s="50"/>
      <c r="D485" s="50"/>
      <c r="E485" s="50"/>
      <c r="F485" s="51"/>
    </row>
    <row r="486">
      <c r="A486" s="50"/>
      <c r="B486" s="50"/>
      <c r="C486" s="50"/>
      <c r="D486" s="50"/>
      <c r="E486" s="50"/>
      <c r="F486" s="51"/>
    </row>
    <row r="487">
      <c r="A487" s="50"/>
      <c r="B487" s="50"/>
      <c r="C487" s="50"/>
      <c r="D487" s="50"/>
      <c r="E487" s="50"/>
      <c r="F487" s="51"/>
    </row>
    <row r="488">
      <c r="A488" s="50"/>
      <c r="B488" s="50"/>
      <c r="C488" s="50"/>
      <c r="D488" s="50"/>
      <c r="E488" s="50"/>
      <c r="F488" s="51"/>
    </row>
    <row r="489">
      <c r="A489" s="50"/>
      <c r="B489" s="50"/>
      <c r="C489" s="50"/>
      <c r="D489" s="50"/>
      <c r="E489" s="50"/>
      <c r="F489" s="51"/>
    </row>
    <row r="490">
      <c r="A490" s="50"/>
      <c r="B490" s="50"/>
      <c r="C490" s="50"/>
      <c r="D490" s="50"/>
      <c r="E490" s="50"/>
      <c r="F490" s="51"/>
    </row>
    <row r="491">
      <c r="A491" s="50"/>
      <c r="B491" s="50"/>
      <c r="C491" s="50"/>
      <c r="D491" s="50"/>
      <c r="E491" s="50"/>
      <c r="F491" s="51"/>
    </row>
    <row r="492">
      <c r="A492" s="50"/>
      <c r="B492" s="50"/>
      <c r="C492" s="50"/>
      <c r="D492" s="50"/>
      <c r="E492" s="50"/>
      <c r="F492" s="51"/>
    </row>
    <row r="493">
      <c r="A493" s="50"/>
      <c r="B493" s="50"/>
      <c r="C493" s="50"/>
      <c r="D493" s="50"/>
      <c r="E493" s="50"/>
      <c r="F493" s="51"/>
    </row>
    <row r="494">
      <c r="A494" s="50"/>
      <c r="B494" s="50"/>
      <c r="C494" s="50"/>
      <c r="D494" s="50"/>
      <c r="E494" s="50"/>
      <c r="F494" s="51"/>
    </row>
    <row r="495">
      <c r="A495" s="50"/>
      <c r="B495" s="50"/>
      <c r="C495" s="50"/>
      <c r="D495" s="50"/>
      <c r="E495" s="50"/>
      <c r="F495" s="51"/>
    </row>
    <row r="496">
      <c r="A496" s="50"/>
      <c r="B496" s="50"/>
      <c r="C496" s="50"/>
      <c r="D496" s="50"/>
      <c r="E496" s="50"/>
      <c r="F496" s="51"/>
    </row>
    <row r="497">
      <c r="A497" s="50"/>
      <c r="B497" s="50"/>
      <c r="C497" s="50"/>
      <c r="D497" s="50"/>
      <c r="E497" s="50"/>
      <c r="F497" s="51"/>
    </row>
    <row r="498">
      <c r="A498" s="50"/>
      <c r="B498" s="50"/>
      <c r="C498" s="50"/>
      <c r="D498" s="50"/>
      <c r="E498" s="50"/>
      <c r="F498" s="51"/>
    </row>
    <row r="499">
      <c r="A499" s="50"/>
      <c r="B499" s="50"/>
      <c r="C499" s="50"/>
      <c r="D499" s="50"/>
      <c r="E499" s="50"/>
      <c r="F499" s="51"/>
    </row>
    <row r="500">
      <c r="A500" s="50"/>
      <c r="B500" s="50"/>
      <c r="C500" s="50"/>
      <c r="D500" s="50"/>
      <c r="E500" s="50"/>
      <c r="F500" s="51"/>
    </row>
    <row r="501">
      <c r="A501" s="50"/>
      <c r="B501" s="50"/>
      <c r="C501" s="50"/>
      <c r="D501" s="50"/>
      <c r="E501" s="50"/>
      <c r="F501" s="51"/>
    </row>
    <row r="502">
      <c r="A502" s="50"/>
      <c r="B502" s="50"/>
      <c r="C502" s="50"/>
      <c r="D502" s="50"/>
      <c r="E502" s="50"/>
      <c r="F502" s="51"/>
    </row>
    <row r="503">
      <c r="A503" s="50"/>
      <c r="B503" s="50"/>
      <c r="C503" s="50"/>
      <c r="D503" s="50"/>
      <c r="E503" s="50"/>
      <c r="F503" s="51"/>
    </row>
    <row r="504">
      <c r="A504" s="50"/>
      <c r="B504" s="50"/>
      <c r="C504" s="50"/>
      <c r="D504" s="50"/>
      <c r="E504" s="50"/>
      <c r="F504" s="51"/>
    </row>
    <row r="505">
      <c r="A505" s="50"/>
      <c r="B505" s="50"/>
      <c r="C505" s="50"/>
      <c r="D505" s="50"/>
      <c r="E505" s="50"/>
      <c r="F505" s="51"/>
    </row>
    <row r="506">
      <c r="A506" s="50"/>
      <c r="B506" s="50"/>
      <c r="C506" s="50"/>
      <c r="D506" s="50"/>
      <c r="E506" s="50"/>
      <c r="F506" s="51"/>
    </row>
    <row r="507">
      <c r="A507" s="50"/>
      <c r="B507" s="50"/>
      <c r="C507" s="50"/>
      <c r="D507" s="50"/>
      <c r="E507" s="50"/>
      <c r="F507" s="51"/>
    </row>
    <row r="508">
      <c r="A508" s="50"/>
      <c r="B508" s="50"/>
      <c r="C508" s="50"/>
      <c r="D508" s="50"/>
      <c r="E508" s="50"/>
      <c r="F508" s="51"/>
    </row>
    <row r="509">
      <c r="A509" s="50"/>
      <c r="B509" s="50"/>
      <c r="C509" s="50"/>
      <c r="D509" s="50"/>
      <c r="E509" s="50"/>
      <c r="F509" s="51"/>
    </row>
    <row r="510">
      <c r="A510" s="50"/>
      <c r="B510" s="50"/>
      <c r="C510" s="50"/>
      <c r="D510" s="50"/>
      <c r="E510" s="50"/>
      <c r="F510" s="51"/>
    </row>
    <row r="511">
      <c r="A511" s="50"/>
      <c r="B511" s="50"/>
      <c r="C511" s="50"/>
      <c r="D511" s="50"/>
      <c r="E511" s="50"/>
      <c r="F511" s="51"/>
    </row>
    <row r="512">
      <c r="A512" s="50"/>
      <c r="B512" s="50"/>
      <c r="C512" s="50"/>
      <c r="D512" s="50"/>
      <c r="E512" s="50"/>
      <c r="F512" s="51"/>
    </row>
    <row r="513">
      <c r="A513" s="50"/>
      <c r="B513" s="50"/>
      <c r="C513" s="50"/>
      <c r="D513" s="50"/>
      <c r="E513" s="50"/>
      <c r="F513" s="51"/>
    </row>
    <row r="514">
      <c r="A514" s="50"/>
      <c r="B514" s="50"/>
      <c r="C514" s="50"/>
      <c r="D514" s="50"/>
      <c r="E514" s="50"/>
      <c r="F514" s="51"/>
    </row>
    <row r="515">
      <c r="A515" s="50"/>
      <c r="B515" s="50"/>
      <c r="C515" s="50"/>
      <c r="D515" s="50"/>
      <c r="E515" s="50"/>
      <c r="F515" s="51"/>
    </row>
    <row r="516">
      <c r="A516" s="50"/>
      <c r="B516" s="50"/>
      <c r="C516" s="50"/>
      <c r="D516" s="50"/>
      <c r="E516" s="50"/>
      <c r="F516" s="51"/>
    </row>
    <row r="517">
      <c r="A517" s="50"/>
      <c r="B517" s="50"/>
      <c r="C517" s="50"/>
      <c r="D517" s="50"/>
      <c r="E517" s="50"/>
      <c r="F517" s="51"/>
    </row>
    <row r="518">
      <c r="A518" s="50"/>
      <c r="B518" s="50"/>
      <c r="C518" s="50"/>
      <c r="D518" s="50"/>
      <c r="E518" s="50"/>
      <c r="F518" s="51"/>
    </row>
    <row r="519">
      <c r="A519" s="50"/>
      <c r="B519" s="50"/>
      <c r="C519" s="50"/>
      <c r="D519" s="50"/>
      <c r="E519" s="50"/>
      <c r="F519" s="51"/>
    </row>
    <row r="520">
      <c r="A520" s="50"/>
      <c r="B520" s="50"/>
      <c r="C520" s="50"/>
      <c r="D520" s="50"/>
      <c r="E520" s="50"/>
      <c r="F520" s="51"/>
    </row>
    <row r="521">
      <c r="A521" s="50"/>
      <c r="B521" s="50"/>
      <c r="C521" s="50"/>
      <c r="D521" s="50"/>
      <c r="E521" s="50"/>
      <c r="F521" s="51"/>
    </row>
    <row r="522">
      <c r="A522" s="50"/>
      <c r="B522" s="50"/>
      <c r="C522" s="50"/>
      <c r="D522" s="50"/>
      <c r="E522" s="50"/>
      <c r="F522" s="51"/>
    </row>
    <row r="523">
      <c r="A523" s="50"/>
      <c r="B523" s="50"/>
      <c r="C523" s="50"/>
      <c r="D523" s="50"/>
      <c r="E523" s="50"/>
      <c r="F523" s="51"/>
    </row>
    <row r="524">
      <c r="A524" s="50"/>
      <c r="B524" s="50"/>
      <c r="C524" s="50"/>
      <c r="D524" s="50"/>
      <c r="E524" s="50"/>
      <c r="F524" s="51"/>
    </row>
    <row r="525">
      <c r="A525" s="50"/>
      <c r="B525" s="50"/>
      <c r="C525" s="50"/>
      <c r="D525" s="50"/>
      <c r="E525" s="50"/>
      <c r="F525" s="51"/>
    </row>
    <row r="526">
      <c r="A526" s="50"/>
      <c r="B526" s="50"/>
      <c r="C526" s="50"/>
      <c r="D526" s="50"/>
      <c r="E526" s="50"/>
      <c r="F526" s="51"/>
    </row>
    <row r="527">
      <c r="A527" s="50"/>
      <c r="B527" s="50"/>
      <c r="C527" s="50"/>
      <c r="D527" s="50"/>
      <c r="E527" s="50"/>
      <c r="F527" s="51"/>
    </row>
    <row r="528">
      <c r="A528" s="50"/>
      <c r="B528" s="50"/>
      <c r="C528" s="50"/>
      <c r="D528" s="50"/>
      <c r="E528" s="50"/>
      <c r="F528" s="51"/>
    </row>
    <row r="529">
      <c r="A529" s="50"/>
      <c r="B529" s="50"/>
      <c r="C529" s="50"/>
      <c r="D529" s="50"/>
      <c r="E529" s="50"/>
      <c r="F529" s="51"/>
    </row>
    <row r="530">
      <c r="A530" s="50"/>
      <c r="B530" s="50"/>
      <c r="C530" s="50"/>
      <c r="D530" s="50"/>
      <c r="E530" s="50"/>
      <c r="F530" s="51"/>
    </row>
    <row r="531">
      <c r="A531" s="50"/>
      <c r="B531" s="50"/>
      <c r="C531" s="50"/>
      <c r="D531" s="50"/>
      <c r="E531" s="50"/>
      <c r="F531" s="51"/>
    </row>
    <row r="532">
      <c r="A532" s="50"/>
      <c r="B532" s="50"/>
      <c r="C532" s="50"/>
      <c r="D532" s="50"/>
      <c r="E532" s="50"/>
      <c r="F532" s="51"/>
    </row>
    <row r="533">
      <c r="A533" s="50"/>
      <c r="B533" s="50"/>
      <c r="C533" s="50"/>
      <c r="D533" s="50"/>
      <c r="E533" s="50"/>
      <c r="F533" s="51"/>
    </row>
    <row r="534">
      <c r="A534" s="50"/>
      <c r="B534" s="50"/>
      <c r="C534" s="50"/>
      <c r="D534" s="50"/>
      <c r="E534" s="50"/>
      <c r="F534" s="51"/>
    </row>
    <row r="535">
      <c r="A535" s="50"/>
      <c r="B535" s="50"/>
      <c r="C535" s="50"/>
      <c r="D535" s="50"/>
      <c r="E535" s="50"/>
      <c r="F535" s="51"/>
    </row>
    <row r="536">
      <c r="A536" s="50"/>
      <c r="B536" s="50"/>
      <c r="C536" s="50"/>
      <c r="D536" s="50"/>
      <c r="E536" s="50"/>
      <c r="F536" s="51"/>
    </row>
    <row r="537">
      <c r="A537" s="50"/>
      <c r="B537" s="50"/>
      <c r="C537" s="50"/>
      <c r="D537" s="50"/>
      <c r="E537" s="50"/>
      <c r="F537" s="51"/>
    </row>
    <row r="538">
      <c r="A538" s="50"/>
      <c r="B538" s="50"/>
      <c r="C538" s="50"/>
      <c r="D538" s="50"/>
      <c r="E538" s="50"/>
      <c r="F538" s="51"/>
    </row>
    <row r="539">
      <c r="A539" s="50"/>
      <c r="B539" s="50"/>
      <c r="C539" s="50"/>
      <c r="D539" s="50"/>
      <c r="E539" s="50"/>
      <c r="F539" s="51"/>
    </row>
    <row r="540">
      <c r="A540" s="50"/>
      <c r="B540" s="50"/>
      <c r="C540" s="50"/>
      <c r="D540" s="50"/>
      <c r="E540" s="50"/>
      <c r="F540" s="51"/>
    </row>
    <row r="541">
      <c r="A541" s="50"/>
      <c r="B541" s="50"/>
      <c r="C541" s="50"/>
      <c r="D541" s="50"/>
      <c r="E541" s="50"/>
      <c r="F541" s="51"/>
    </row>
    <row r="542">
      <c r="A542" s="50"/>
      <c r="B542" s="50"/>
      <c r="C542" s="50"/>
      <c r="D542" s="50"/>
      <c r="E542" s="50"/>
      <c r="F542" s="51"/>
    </row>
    <row r="543">
      <c r="A543" s="50"/>
      <c r="B543" s="50"/>
      <c r="C543" s="50"/>
      <c r="D543" s="50"/>
      <c r="E543" s="50"/>
      <c r="F543" s="51"/>
    </row>
    <row r="544">
      <c r="A544" s="50"/>
      <c r="B544" s="50"/>
      <c r="C544" s="50"/>
      <c r="D544" s="50"/>
      <c r="E544" s="50"/>
      <c r="F544" s="51"/>
    </row>
    <row r="545">
      <c r="A545" s="50"/>
      <c r="B545" s="50"/>
      <c r="C545" s="50"/>
      <c r="D545" s="50"/>
      <c r="E545" s="50"/>
      <c r="F545" s="51"/>
    </row>
    <row r="546">
      <c r="A546" s="50"/>
      <c r="B546" s="50"/>
      <c r="C546" s="50"/>
      <c r="D546" s="50"/>
      <c r="E546" s="50"/>
      <c r="F546" s="51"/>
    </row>
    <row r="547">
      <c r="A547" s="50"/>
      <c r="B547" s="50"/>
      <c r="C547" s="50"/>
      <c r="D547" s="50"/>
      <c r="E547" s="50"/>
      <c r="F547" s="51"/>
    </row>
    <row r="548">
      <c r="A548" s="50"/>
      <c r="B548" s="50"/>
      <c r="C548" s="50"/>
      <c r="D548" s="50"/>
      <c r="E548" s="50"/>
      <c r="F548" s="51"/>
    </row>
    <row r="549">
      <c r="A549" s="50"/>
      <c r="B549" s="50"/>
      <c r="C549" s="50"/>
      <c r="D549" s="50"/>
      <c r="E549" s="50"/>
      <c r="F549" s="51"/>
    </row>
    <row r="550">
      <c r="A550" s="50"/>
      <c r="B550" s="50"/>
      <c r="C550" s="50"/>
      <c r="D550" s="50"/>
      <c r="E550" s="50"/>
      <c r="F550" s="51"/>
    </row>
    <row r="551">
      <c r="A551" s="50"/>
      <c r="B551" s="50"/>
      <c r="C551" s="50"/>
      <c r="D551" s="50"/>
      <c r="E551" s="50"/>
      <c r="F551" s="51"/>
    </row>
    <row r="552">
      <c r="A552" s="50"/>
      <c r="B552" s="50"/>
      <c r="C552" s="50"/>
      <c r="D552" s="50"/>
      <c r="E552" s="50"/>
      <c r="F552" s="51"/>
    </row>
    <row r="553">
      <c r="A553" s="50"/>
      <c r="B553" s="50"/>
      <c r="C553" s="50"/>
      <c r="D553" s="50"/>
      <c r="E553" s="50"/>
      <c r="F553" s="51"/>
    </row>
    <row r="554">
      <c r="A554" s="50"/>
      <c r="B554" s="50"/>
      <c r="C554" s="50"/>
      <c r="D554" s="50"/>
      <c r="E554" s="50"/>
      <c r="F554" s="51"/>
    </row>
    <row r="555">
      <c r="A555" s="50"/>
      <c r="B555" s="50"/>
      <c r="C555" s="50"/>
      <c r="D555" s="50"/>
      <c r="E555" s="50"/>
      <c r="F555" s="51"/>
    </row>
    <row r="556">
      <c r="A556" s="50"/>
      <c r="B556" s="50"/>
      <c r="C556" s="50"/>
      <c r="D556" s="50"/>
      <c r="E556" s="50"/>
      <c r="F556" s="51"/>
    </row>
    <row r="557">
      <c r="A557" s="50"/>
      <c r="B557" s="50"/>
      <c r="C557" s="50"/>
      <c r="D557" s="50"/>
      <c r="E557" s="50"/>
      <c r="F557" s="51"/>
    </row>
    <row r="558">
      <c r="A558" s="50"/>
      <c r="B558" s="50"/>
      <c r="C558" s="50"/>
      <c r="D558" s="50"/>
      <c r="E558" s="50"/>
      <c r="F558" s="51"/>
    </row>
    <row r="559">
      <c r="A559" s="50"/>
      <c r="B559" s="50"/>
      <c r="C559" s="50"/>
      <c r="D559" s="50"/>
      <c r="E559" s="50"/>
      <c r="F559" s="51"/>
    </row>
    <row r="560">
      <c r="A560" s="50"/>
      <c r="B560" s="50"/>
      <c r="C560" s="50"/>
      <c r="D560" s="50"/>
      <c r="E560" s="50"/>
      <c r="F560" s="51"/>
    </row>
    <row r="561">
      <c r="A561" s="50"/>
      <c r="B561" s="50"/>
      <c r="C561" s="50"/>
      <c r="D561" s="50"/>
      <c r="E561" s="50"/>
      <c r="F561" s="51"/>
    </row>
    <row r="562">
      <c r="A562" s="50"/>
      <c r="B562" s="50"/>
      <c r="C562" s="50"/>
      <c r="D562" s="50"/>
      <c r="E562" s="50"/>
      <c r="F562" s="51"/>
    </row>
    <row r="563">
      <c r="A563" s="50"/>
      <c r="B563" s="50"/>
      <c r="C563" s="50"/>
      <c r="D563" s="50"/>
      <c r="E563" s="50"/>
      <c r="F563" s="51"/>
    </row>
    <row r="564">
      <c r="A564" s="50"/>
      <c r="B564" s="50"/>
      <c r="C564" s="50"/>
      <c r="D564" s="50"/>
      <c r="E564" s="50"/>
      <c r="F564" s="51"/>
    </row>
    <row r="565">
      <c r="A565" s="50"/>
      <c r="B565" s="50"/>
      <c r="C565" s="50"/>
      <c r="D565" s="50"/>
      <c r="E565" s="50"/>
      <c r="F565" s="51"/>
    </row>
    <row r="566">
      <c r="A566" s="50"/>
      <c r="B566" s="50"/>
      <c r="C566" s="50"/>
      <c r="D566" s="50"/>
      <c r="E566" s="50"/>
      <c r="F566" s="51"/>
    </row>
    <row r="567">
      <c r="A567" s="50"/>
      <c r="B567" s="50"/>
      <c r="C567" s="50"/>
      <c r="D567" s="50"/>
      <c r="E567" s="50"/>
      <c r="F567" s="51"/>
    </row>
    <row r="568">
      <c r="A568" s="50"/>
      <c r="B568" s="50"/>
      <c r="C568" s="50"/>
      <c r="D568" s="50"/>
      <c r="E568" s="50"/>
      <c r="F568" s="51"/>
    </row>
    <row r="569">
      <c r="A569" s="50"/>
      <c r="B569" s="50"/>
      <c r="C569" s="50"/>
      <c r="D569" s="50"/>
      <c r="E569" s="50"/>
      <c r="F569" s="51"/>
    </row>
    <row r="570">
      <c r="A570" s="50"/>
      <c r="B570" s="50"/>
      <c r="C570" s="50"/>
      <c r="D570" s="50"/>
      <c r="E570" s="50"/>
      <c r="F570" s="51"/>
    </row>
    <row r="571">
      <c r="A571" s="50"/>
      <c r="B571" s="50"/>
      <c r="C571" s="50"/>
      <c r="D571" s="50"/>
      <c r="E571" s="50"/>
      <c r="F571" s="51"/>
    </row>
    <row r="572">
      <c r="A572" s="50"/>
      <c r="B572" s="50"/>
      <c r="C572" s="50"/>
      <c r="D572" s="50"/>
      <c r="E572" s="50"/>
      <c r="F572" s="51"/>
    </row>
    <row r="573">
      <c r="A573" s="50"/>
      <c r="B573" s="50"/>
      <c r="C573" s="50"/>
      <c r="D573" s="50"/>
      <c r="E573" s="50"/>
      <c r="F573" s="51"/>
    </row>
    <row r="574">
      <c r="A574" s="50"/>
      <c r="B574" s="50"/>
      <c r="C574" s="50"/>
      <c r="D574" s="50"/>
      <c r="E574" s="50"/>
      <c r="F574" s="51"/>
    </row>
    <row r="575">
      <c r="A575" s="50"/>
      <c r="B575" s="50"/>
      <c r="C575" s="50"/>
      <c r="D575" s="50"/>
      <c r="E575" s="50"/>
      <c r="F575" s="51"/>
    </row>
    <row r="576">
      <c r="A576" s="50"/>
      <c r="B576" s="50"/>
      <c r="C576" s="50"/>
      <c r="D576" s="50"/>
      <c r="E576" s="50"/>
      <c r="F576" s="51"/>
    </row>
    <row r="577">
      <c r="A577" s="50"/>
      <c r="B577" s="50"/>
      <c r="C577" s="50"/>
      <c r="D577" s="50"/>
      <c r="E577" s="50"/>
      <c r="F577" s="51"/>
    </row>
    <row r="578">
      <c r="A578" s="50"/>
      <c r="B578" s="50"/>
      <c r="C578" s="50"/>
      <c r="D578" s="50"/>
      <c r="E578" s="50"/>
      <c r="F578" s="51"/>
    </row>
    <row r="579">
      <c r="A579" s="50"/>
      <c r="B579" s="50"/>
      <c r="C579" s="50"/>
      <c r="D579" s="50"/>
      <c r="E579" s="50"/>
      <c r="F579" s="51"/>
    </row>
    <row r="580">
      <c r="A580" s="50"/>
      <c r="B580" s="50"/>
      <c r="C580" s="50"/>
      <c r="D580" s="50"/>
      <c r="E580" s="50"/>
      <c r="F580" s="51"/>
    </row>
    <row r="581">
      <c r="A581" s="50"/>
      <c r="B581" s="50"/>
      <c r="C581" s="50"/>
      <c r="D581" s="50"/>
      <c r="E581" s="50"/>
      <c r="F581" s="51"/>
    </row>
    <row r="582">
      <c r="A582" s="50"/>
      <c r="B582" s="50"/>
      <c r="C582" s="50"/>
      <c r="D582" s="50"/>
      <c r="E582" s="50"/>
      <c r="F582" s="51"/>
    </row>
    <row r="583">
      <c r="A583" s="50"/>
      <c r="B583" s="50"/>
      <c r="C583" s="50"/>
      <c r="D583" s="50"/>
      <c r="E583" s="50"/>
      <c r="F583" s="51"/>
    </row>
    <row r="584">
      <c r="A584" s="50"/>
      <c r="B584" s="50"/>
      <c r="C584" s="50"/>
      <c r="D584" s="50"/>
      <c r="E584" s="50"/>
      <c r="F584" s="51"/>
    </row>
    <row r="585">
      <c r="A585" s="50"/>
      <c r="B585" s="50"/>
      <c r="C585" s="50"/>
      <c r="D585" s="50"/>
      <c r="E585" s="50"/>
      <c r="F585" s="51"/>
    </row>
    <row r="586">
      <c r="A586" s="50"/>
      <c r="B586" s="50"/>
      <c r="C586" s="50"/>
      <c r="D586" s="50"/>
      <c r="E586" s="50"/>
      <c r="F586" s="51"/>
    </row>
    <row r="587">
      <c r="A587" s="50"/>
      <c r="B587" s="50"/>
      <c r="C587" s="50"/>
      <c r="D587" s="50"/>
      <c r="E587" s="50"/>
      <c r="F587" s="51"/>
    </row>
    <row r="588">
      <c r="A588" s="50"/>
      <c r="B588" s="50"/>
      <c r="C588" s="50"/>
      <c r="D588" s="50"/>
      <c r="E588" s="50"/>
      <c r="F588" s="51"/>
    </row>
    <row r="589">
      <c r="A589" s="50"/>
      <c r="B589" s="50"/>
      <c r="C589" s="50"/>
      <c r="D589" s="50"/>
      <c r="E589" s="50"/>
      <c r="F589" s="51"/>
    </row>
    <row r="590">
      <c r="A590" s="50"/>
      <c r="B590" s="50"/>
      <c r="C590" s="50"/>
      <c r="D590" s="50"/>
      <c r="E590" s="50"/>
      <c r="F590" s="51"/>
    </row>
    <row r="591">
      <c r="A591" s="50"/>
      <c r="B591" s="50"/>
      <c r="C591" s="50"/>
      <c r="D591" s="50"/>
      <c r="E591" s="50"/>
      <c r="F591" s="51"/>
    </row>
    <row r="592">
      <c r="A592" s="50"/>
      <c r="B592" s="50"/>
      <c r="C592" s="50"/>
      <c r="D592" s="50"/>
      <c r="E592" s="50"/>
      <c r="F592" s="51"/>
    </row>
    <row r="593">
      <c r="A593" s="50"/>
      <c r="B593" s="50"/>
      <c r="C593" s="50"/>
      <c r="D593" s="50"/>
      <c r="E593" s="50"/>
      <c r="F593" s="51"/>
    </row>
    <row r="594">
      <c r="A594" s="50"/>
      <c r="B594" s="50"/>
      <c r="C594" s="50"/>
      <c r="D594" s="50"/>
      <c r="E594" s="50"/>
      <c r="F594" s="51"/>
    </row>
    <row r="595">
      <c r="A595" s="50"/>
      <c r="B595" s="50"/>
      <c r="C595" s="50"/>
      <c r="D595" s="50"/>
      <c r="E595" s="50"/>
      <c r="F595" s="51"/>
    </row>
    <row r="596">
      <c r="A596" s="50"/>
      <c r="B596" s="50"/>
      <c r="C596" s="50"/>
      <c r="D596" s="50"/>
      <c r="E596" s="50"/>
      <c r="F596" s="51"/>
    </row>
    <row r="597">
      <c r="A597" s="50"/>
      <c r="B597" s="50"/>
      <c r="C597" s="50"/>
      <c r="D597" s="50"/>
      <c r="E597" s="50"/>
      <c r="F597" s="51"/>
    </row>
    <row r="598">
      <c r="A598" s="50"/>
      <c r="B598" s="50"/>
      <c r="C598" s="50"/>
      <c r="D598" s="50"/>
      <c r="E598" s="50"/>
      <c r="F598" s="51"/>
    </row>
    <row r="599">
      <c r="A599" s="50"/>
      <c r="B599" s="50"/>
      <c r="C599" s="50"/>
      <c r="D599" s="50"/>
      <c r="E599" s="50"/>
      <c r="F599" s="51"/>
    </row>
    <row r="600">
      <c r="A600" s="50"/>
      <c r="B600" s="50"/>
      <c r="C600" s="50"/>
      <c r="D600" s="50"/>
      <c r="E600" s="50"/>
      <c r="F600" s="51"/>
    </row>
    <row r="601">
      <c r="A601" s="50"/>
      <c r="B601" s="50"/>
      <c r="C601" s="50"/>
      <c r="D601" s="50"/>
      <c r="E601" s="50"/>
      <c r="F601" s="51"/>
    </row>
    <row r="602">
      <c r="A602" s="50"/>
      <c r="B602" s="50"/>
      <c r="C602" s="50"/>
      <c r="D602" s="50"/>
      <c r="E602" s="50"/>
      <c r="F602" s="51"/>
    </row>
    <row r="603">
      <c r="A603" s="50"/>
      <c r="B603" s="50"/>
      <c r="C603" s="50"/>
      <c r="D603" s="50"/>
      <c r="E603" s="50"/>
      <c r="F603" s="51"/>
    </row>
    <row r="604">
      <c r="A604" s="50"/>
      <c r="B604" s="50"/>
      <c r="C604" s="50"/>
      <c r="D604" s="50"/>
      <c r="E604" s="50"/>
      <c r="F604" s="51"/>
    </row>
    <row r="605">
      <c r="A605" s="50"/>
      <c r="B605" s="50"/>
      <c r="C605" s="50"/>
      <c r="D605" s="50"/>
      <c r="E605" s="50"/>
      <c r="F605" s="51"/>
    </row>
    <row r="606">
      <c r="A606" s="50"/>
      <c r="B606" s="50"/>
      <c r="C606" s="50"/>
      <c r="D606" s="50"/>
      <c r="E606" s="50"/>
      <c r="F606" s="51"/>
    </row>
    <row r="607">
      <c r="A607" s="50"/>
      <c r="B607" s="50"/>
      <c r="C607" s="50"/>
      <c r="D607" s="50"/>
      <c r="E607" s="50"/>
      <c r="F607" s="51"/>
    </row>
    <row r="608">
      <c r="A608" s="50"/>
      <c r="B608" s="50"/>
      <c r="C608" s="50"/>
      <c r="D608" s="50"/>
      <c r="E608" s="50"/>
      <c r="F608" s="51"/>
    </row>
    <row r="609">
      <c r="A609" s="50"/>
      <c r="B609" s="50"/>
      <c r="C609" s="50"/>
      <c r="D609" s="50"/>
      <c r="E609" s="50"/>
      <c r="F609" s="51"/>
    </row>
    <row r="610">
      <c r="A610" s="50"/>
      <c r="B610" s="50"/>
      <c r="C610" s="50"/>
      <c r="D610" s="50"/>
      <c r="E610" s="50"/>
      <c r="F610" s="51"/>
    </row>
    <row r="611">
      <c r="A611" s="50"/>
      <c r="B611" s="50"/>
      <c r="C611" s="50"/>
      <c r="D611" s="50"/>
      <c r="E611" s="50"/>
      <c r="F611" s="51"/>
    </row>
    <row r="612">
      <c r="A612" s="50"/>
      <c r="B612" s="50"/>
      <c r="C612" s="50"/>
      <c r="D612" s="50"/>
      <c r="E612" s="50"/>
      <c r="F612" s="51"/>
    </row>
    <row r="613">
      <c r="A613" s="50"/>
      <c r="B613" s="50"/>
      <c r="C613" s="50"/>
      <c r="D613" s="50"/>
      <c r="E613" s="50"/>
      <c r="F613" s="51"/>
    </row>
    <row r="614">
      <c r="A614" s="50"/>
      <c r="B614" s="50"/>
      <c r="C614" s="50"/>
      <c r="D614" s="50"/>
      <c r="E614" s="50"/>
      <c r="F614" s="51"/>
    </row>
    <row r="615">
      <c r="A615" s="50"/>
      <c r="B615" s="50"/>
      <c r="C615" s="50"/>
      <c r="D615" s="50"/>
      <c r="E615" s="50"/>
      <c r="F615" s="51"/>
    </row>
    <row r="616">
      <c r="A616" s="50"/>
      <c r="B616" s="50"/>
      <c r="C616" s="50"/>
      <c r="D616" s="50"/>
      <c r="E616" s="50"/>
      <c r="F616" s="51"/>
    </row>
    <row r="617">
      <c r="A617" s="50"/>
      <c r="B617" s="50"/>
      <c r="C617" s="50"/>
      <c r="D617" s="50"/>
      <c r="E617" s="50"/>
      <c r="F617" s="51"/>
    </row>
    <row r="618">
      <c r="A618" s="50"/>
      <c r="B618" s="50"/>
      <c r="C618" s="50"/>
      <c r="D618" s="50"/>
      <c r="E618" s="50"/>
      <c r="F618" s="51"/>
    </row>
    <row r="619">
      <c r="A619" s="50"/>
      <c r="B619" s="50"/>
      <c r="C619" s="50"/>
      <c r="D619" s="50"/>
      <c r="E619" s="50"/>
      <c r="F619" s="51"/>
    </row>
    <row r="620">
      <c r="A620" s="50"/>
      <c r="B620" s="50"/>
      <c r="C620" s="50"/>
      <c r="D620" s="50"/>
      <c r="E620" s="50"/>
      <c r="F620" s="51"/>
    </row>
    <row r="621">
      <c r="A621" s="50"/>
      <c r="B621" s="50"/>
      <c r="C621" s="50"/>
      <c r="D621" s="50"/>
      <c r="E621" s="50"/>
      <c r="F621" s="51"/>
    </row>
    <row r="622">
      <c r="A622" s="50"/>
      <c r="B622" s="50"/>
      <c r="C622" s="50"/>
      <c r="D622" s="50"/>
      <c r="E622" s="50"/>
      <c r="F622" s="51"/>
    </row>
    <row r="623">
      <c r="A623" s="50"/>
      <c r="B623" s="50"/>
      <c r="C623" s="50"/>
      <c r="D623" s="50"/>
      <c r="E623" s="50"/>
      <c r="F623" s="51"/>
    </row>
    <row r="624">
      <c r="A624" s="50"/>
      <c r="B624" s="50"/>
      <c r="C624" s="50"/>
      <c r="D624" s="50"/>
      <c r="E624" s="50"/>
      <c r="F624" s="51"/>
    </row>
    <row r="625">
      <c r="A625" s="50"/>
      <c r="B625" s="50"/>
      <c r="C625" s="50"/>
      <c r="D625" s="50"/>
      <c r="E625" s="50"/>
      <c r="F625" s="51"/>
    </row>
    <row r="626">
      <c r="A626" s="50"/>
      <c r="B626" s="50"/>
      <c r="C626" s="50"/>
      <c r="D626" s="50"/>
      <c r="E626" s="50"/>
      <c r="F626" s="51"/>
    </row>
    <row r="627">
      <c r="A627" s="50"/>
      <c r="B627" s="50"/>
      <c r="C627" s="50"/>
      <c r="D627" s="50"/>
      <c r="E627" s="50"/>
      <c r="F627" s="51"/>
    </row>
    <row r="628">
      <c r="A628" s="50"/>
      <c r="B628" s="50"/>
      <c r="C628" s="50"/>
      <c r="D628" s="50"/>
      <c r="E628" s="50"/>
      <c r="F628" s="51"/>
    </row>
    <row r="629">
      <c r="A629" s="50"/>
      <c r="B629" s="50"/>
      <c r="C629" s="50"/>
      <c r="D629" s="50"/>
      <c r="E629" s="50"/>
      <c r="F629" s="51"/>
    </row>
    <row r="630">
      <c r="A630" s="50"/>
      <c r="B630" s="50"/>
      <c r="C630" s="50"/>
      <c r="D630" s="50"/>
      <c r="E630" s="50"/>
      <c r="F630" s="51"/>
    </row>
    <row r="631">
      <c r="A631" s="50"/>
      <c r="B631" s="50"/>
      <c r="C631" s="50"/>
      <c r="D631" s="50"/>
      <c r="E631" s="50"/>
      <c r="F631" s="51"/>
    </row>
    <row r="632">
      <c r="A632" s="50"/>
      <c r="B632" s="50"/>
      <c r="C632" s="50"/>
      <c r="D632" s="50"/>
      <c r="E632" s="50"/>
      <c r="F632" s="51"/>
    </row>
    <row r="633">
      <c r="A633" s="50"/>
      <c r="B633" s="50"/>
      <c r="C633" s="50"/>
      <c r="D633" s="50"/>
      <c r="E633" s="50"/>
      <c r="F633" s="51"/>
    </row>
    <row r="634">
      <c r="A634" s="50"/>
      <c r="B634" s="50"/>
      <c r="C634" s="50"/>
      <c r="D634" s="50"/>
      <c r="E634" s="50"/>
      <c r="F634" s="51"/>
    </row>
    <row r="635">
      <c r="A635" s="50"/>
      <c r="B635" s="50"/>
      <c r="C635" s="50"/>
      <c r="D635" s="50"/>
      <c r="E635" s="50"/>
      <c r="F635" s="51"/>
    </row>
    <row r="636">
      <c r="A636" s="50"/>
      <c r="B636" s="50"/>
      <c r="C636" s="50"/>
      <c r="D636" s="50"/>
      <c r="E636" s="50"/>
      <c r="F636" s="51"/>
    </row>
    <row r="637">
      <c r="A637" s="50"/>
      <c r="B637" s="50"/>
      <c r="C637" s="50"/>
      <c r="D637" s="50"/>
      <c r="E637" s="50"/>
      <c r="F637" s="51"/>
    </row>
    <row r="638">
      <c r="A638" s="50"/>
      <c r="B638" s="50"/>
      <c r="C638" s="50"/>
      <c r="D638" s="50"/>
      <c r="E638" s="50"/>
      <c r="F638" s="51"/>
    </row>
    <row r="639">
      <c r="A639" s="50"/>
      <c r="B639" s="50"/>
      <c r="C639" s="50"/>
      <c r="D639" s="50"/>
      <c r="E639" s="50"/>
      <c r="F639" s="51"/>
    </row>
    <row r="640">
      <c r="A640" s="50"/>
      <c r="B640" s="50"/>
      <c r="C640" s="50"/>
      <c r="D640" s="50"/>
      <c r="E640" s="50"/>
      <c r="F640" s="51"/>
    </row>
    <row r="641">
      <c r="A641" s="50"/>
      <c r="B641" s="50"/>
      <c r="C641" s="50"/>
      <c r="D641" s="50"/>
      <c r="E641" s="50"/>
      <c r="F641" s="51"/>
    </row>
    <row r="642">
      <c r="A642" s="50"/>
      <c r="B642" s="50"/>
      <c r="C642" s="50"/>
      <c r="D642" s="50"/>
      <c r="E642" s="50"/>
      <c r="F642" s="51"/>
    </row>
    <row r="643">
      <c r="A643" s="50"/>
      <c r="B643" s="50"/>
      <c r="C643" s="50"/>
      <c r="D643" s="50"/>
      <c r="E643" s="50"/>
      <c r="F643" s="51"/>
    </row>
    <row r="644">
      <c r="A644" s="50"/>
      <c r="B644" s="50"/>
      <c r="C644" s="50"/>
      <c r="D644" s="50"/>
      <c r="E644" s="50"/>
      <c r="F644" s="51"/>
    </row>
    <row r="645">
      <c r="A645" s="50"/>
      <c r="B645" s="50"/>
      <c r="C645" s="50"/>
      <c r="D645" s="50"/>
      <c r="E645" s="50"/>
      <c r="F645" s="51"/>
    </row>
    <row r="646">
      <c r="A646" s="50"/>
      <c r="B646" s="50"/>
      <c r="C646" s="50"/>
      <c r="D646" s="50"/>
      <c r="E646" s="50"/>
      <c r="F646" s="51"/>
    </row>
    <row r="647">
      <c r="A647" s="50"/>
      <c r="B647" s="50"/>
      <c r="C647" s="50"/>
      <c r="D647" s="50"/>
      <c r="E647" s="50"/>
      <c r="F647" s="51"/>
    </row>
    <row r="648">
      <c r="A648" s="50"/>
      <c r="B648" s="50"/>
      <c r="C648" s="50"/>
      <c r="D648" s="50"/>
      <c r="E648" s="50"/>
      <c r="F648" s="51"/>
    </row>
    <row r="649">
      <c r="A649" s="50"/>
      <c r="B649" s="50"/>
      <c r="C649" s="50"/>
      <c r="D649" s="50"/>
      <c r="E649" s="50"/>
      <c r="F649" s="51"/>
    </row>
    <row r="650">
      <c r="A650" s="50"/>
      <c r="B650" s="50"/>
      <c r="C650" s="50"/>
      <c r="D650" s="50"/>
      <c r="E650" s="50"/>
      <c r="F650" s="51"/>
    </row>
    <row r="651">
      <c r="A651" s="50"/>
      <c r="B651" s="50"/>
      <c r="C651" s="50"/>
      <c r="D651" s="50"/>
      <c r="E651" s="50"/>
      <c r="F651" s="51"/>
    </row>
    <row r="652">
      <c r="A652" s="50"/>
      <c r="B652" s="50"/>
      <c r="C652" s="50"/>
      <c r="D652" s="50"/>
      <c r="E652" s="50"/>
      <c r="F652" s="51"/>
    </row>
    <row r="653">
      <c r="A653" s="50"/>
      <c r="B653" s="50"/>
      <c r="C653" s="50"/>
      <c r="D653" s="50"/>
      <c r="E653" s="50"/>
      <c r="F653" s="51"/>
    </row>
    <row r="654">
      <c r="A654" s="50"/>
      <c r="B654" s="50"/>
      <c r="C654" s="50"/>
      <c r="D654" s="50"/>
      <c r="E654" s="50"/>
      <c r="F654" s="51"/>
    </row>
    <row r="655">
      <c r="A655" s="50"/>
      <c r="B655" s="50"/>
      <c r="C655" s="50"/>
      <c r="D655" s="50"/>
      <c r="E655" s="50"/>
      <c r="F655" s="51"/>
    </row>
    <row r="656">
      <c r="A656" s="50"/>
      <c r="B656" s="50"/>
      <c r="C656" s="50"/>
      <c r="D656" s="50"/>
      <c r="E656" s="50"/>
      <c r="F656" s="51"/>
    </row>
    <row r="657">
      <c r="A657" s="50"/>
      <c r="B657" s="50"/>
      <c r="C657" s="50"/>
      <c r="D657" s="50"/>
      <c r="E657" s="50"/>
      <c r="F657" s="51"/>
    </row>
    <row r="658">
      <c r="A658" s="50"/>
      <c r="B658" s="50"/>
      <c r="C658" s="50"/>
      <c r="D658" s="50"/>
      <c r="E658" s="50"/>
      <c r="F658" s="51"/>
    </row>
    <row r="659">
      <c r="A659" s="50"/>
      <c r="B659" s="50"/>
      <c r="C659" s="50"/>
      <c r="D659" s="50"/>
      <c r="E659" s="50"/>
      <c r="F659" s="51"/>
    </row>
    <row r="660">
      <c r="A660" s="50"/>
      <c r="B660" s="50"/>
      <c r="C660" s="50"/>
      <c r="D660" s="50"/>
      <c r="E660" s="50"/>
      <c r="F660" s="51"/>
    </row>
    <row r="661">
      <c r="A661" s="50"/>
      <c r="B661" s="50"/>
      <c r="C661" s="50"/>
      <c r="D661" s="50"/>
      <c r="E661" s="50"/>
      <c r="F661" s="51"/>
    </row>
    <row r="662">
      <c r="A662" s="50"/>
      <c r="B662" s="50"/>
      <c r="C662" s="50"/>
      <c r="D662" s="50"/>
      <c r="E662" s="50"/>
      <c r="F662" s="51"/>
    </row>
    <row r="663">
      <c r="A663" s="50"/>
      <c r="B663" s="50"/>
      <c r="C663" s="50"/>
      <c r="D663" s="50"/>
      <c r="E663" s="50"/>
      <c r="F663" s="51"/>
    </row>
    <row r="664">
      <c r="A664" s="50"/>
      <c r="B664" s="50"/>
      <c r="C664" s="50"/>
      <c r="D664" s="50"/>
      <c r="E664" s="50"/>
      <c r="F664" s="51"/>
    </row>
    <row r="665">
      <c r="A665" s="50"/>
      <c r="B665" s="50"/>
      <c r="C665" s="50"/>
      <c r="D665" s="50"/>
      <c r="E665" s="50"/>
      <c r="F665" s="51"/>
    </row>
    <row r="666">
      <c r="A666" s="50"/>
      <c r="B666" s="50"/>
      <c r="C666" s="50"/>
      <c r="D666" s="50"/>
      <c r="E666" s="50"/>
      <c r="F666" s="51"/>
    </row>
    <row r="667">
      <c r="A667" s="50"/>
      <c r="B667" s="50"/>
      <c r="C667" s="50"/>
      <c r="D667" s="50"/>
      <c r="E667" s="50"/>
      <c r="F667" s="51"/>
    </row>
    <row r="668">
      <c r="A668" s="50"/>
      <c r="B668" s="50"/>
      <c r="C668" s="50"/>
      <c r="D668" s="50"/>
      <c r="E668" s="50"/>
      <c r="F668" s="51"/>
    </row>
    <row r="669">
      <c r="A669" s="50"/>
      <c r="B669" s="50"/>
      <c r="C669" s="50"/>
      <c r="D669" s="50"/>
      <c r="E669" s="50"/>
      <c r="F669" s="51"/>
    </row>
    <row r="670">
      <c r="A670" s="50"/>
      <c r="B670" s="50"/>
      <c r="C670" s="50"/>
      <c r="D670" s="50"/>
      <c r="E670" s="50"/>
      <c r="F670" s="51"/>
    </row>
    <row r="671">
      <c r="A671" s="50"/>
      <c r="B671" s="50"/>
      <c r="C671" s="50"/>
      <c r="D671" s="50"/>
      <c r="E671" s="50"/>
      <c r="F671" s="51"/>
    </row>
    <row r="672">
      <c r="A672" s="50"/>
      <c r="B672" s="50"/>
      <c r="C672" s="50"/>
      <c r="D672" s="50"/>
      <c r="E672" s="50"/>
      <c r="F672" s="51"/>
    </row>
    <row r="673">
      <c r="A673" s="50"/>
      <c r="B673" s="50"/>
      <c r="C673" s="50"/>
      <c r="D673" s="50"/>
      <c r="E673" s="50"/>
      <c r="F673" s="51"/>
    </row>
    <row r="674">
      <c r="A674" s="50"/>
      <c r="B674" s="50"/>
      <c r="C674" s="50"/>
      <c r="D674" s="50"/>
      <c r="E674" s="50"/>
      <c r="F674" s="51"/>
    </row>
    <row r="675">
      <c r="A675" s="50"/>
      <c r="B675" s="50"/>
      <c r="C675" s="50"/>
      <c r="D675" s="50"/>
      <c r="E675" s="50"/>
      <c r="F675" s="51"/>
    </row>
    <row r="676">
      <c r="A676" s="50"/>
      <c r="B676" s="50"/>
      <c r="C676" s="50"/>
      <c r="D676" s="50"/>
      <c r="E676" s="50"/>
      <c r="F676" s="51"/>
    </row>
    <row r="677">
      <c r="A677" s="50"/>
      <c r="B677" s="50"/>
      <c r="C677" s="50"/>
      <c r="D677" s="50"/>
      <c r="E677" s="50"/>
      <c r="F677" s="51"/>
    </row>
    <row r="678">
      <c r="A678" s="50"/>
      <c r="B678" s="50"/>
      <c r="C678" s="50"/>
      <c r="D678" s="50"/>
      <c r="E678" s="50"/>
      <c r="F678" s="51"/>
    </row>
    <row r="679">
      <c r="A679" s="50"/>
      <c r="B679" s="50"/>
      <c r="C679" s="50"/>
      <c r="D679" s="50"/>
      <c r="E679" s="50"/>
      <c r="F679" s="51"/>
    </row>
    <row r="680">
      <c r="A680" s="50"/>
      <c r="B680" s="50"/>
      <c r="C680" s="50"/>
      <c r="D680" s="50"/>
      <c r="E680" s="50"/>
      <c r="F680" s="51"/>
    </row>
    <row r="681">
      <c r="A681" s="50"/>
      <c r="B681" s="50"/>
      <c r="C681" s="50"/>
      <c r="D681" s="50"/>
      <c r="E681" s="50"/>
      <c r="F681" s="51"/>
    </row>
    <row r="682">
      <c r="A682" s="50"/>
      <c r="B682" s="50"/>
      <c r="C682" s="50"/>
      <c r="D682" s="50"/>
      <c r="E682" s="50"/>
      <c r="F682" s="51"/>
    </row>
    <row r="683">
      <c r="A683" s="50"/>
      <c r="B683" s="50"/>
      <c r="C683" s="50"/>
      <c r="D683" s="50"/>
      <c r="E683" s="50"/>
      <c r="F683" s="51"/>
    </row>
    <row r="684">
      <c r="A684" s="50"/>
      <c r="B684" s="50"/>
      <c r="C684" s="50"/>
      <c r="D684" s="50"/>
      <c r="E684" s="50"/>
      <c r="F684" s="51"/>
    </row>
    <row r="685">
      <c r="A685" s="50"/>
      <c r="B685" s="50"/>
      <c r="C685" s="50"/>
      <c r="D685" s="50"/>
      <c r="E685" s="50"/>
      <c r="F685" s="51"/>
    </row>
    <row r="686">
      <c r="A686" s="50"/>
      <c r="B686" s="50"/>
      <c r="C686" s="50"/>
      <c r="D686" s="50"/>
      <c r="E686" s="50"/>
      <c r="F686" s="51"/>
    </row>
    <row r="687">
      <c r="A687" s="50"/>
      <c r="B687" s="50"/>
      <c r="C687" s="50"/>
      <c r="D687" s="50"/>
      <c r="E687" s="50"/>
      <c r="F687" s="51"/>
    </row>
    <row r="688">
      <c r="A688" s="50"/>
      <c r="B688" s="50"/>
      <c r="C688" s="50"/>
      <c r="D688" s="50"/>
      <c r="E688" s="50"/>
      <c r="F688" s="51"/>
    </row>
    <row r="689">
      <c r="A689" s="50"/>
      <c r="B689" s="50"/>
      <c r="C689" s="50"/>
      <c r="D689" s="50"/>
      <c r="E689" s="50"/>
      <c r="F689" s="51"/>
    </row>
    <row r="690">
      <c r="A690" s="50"/>
      <c r="B690" s="50"/>
      <c r="C690" s="50"/>
      <c r="D690" s="50"/>
      <c r="E690" s="50"/>
      <c r="F690" s="51"/>
    </row>
    <row r="691">
      <c r="A691" s="50"/>
      <c r="B691" s="50"/>
      <c r="C691" s="50"/>
      <c r="D691" s="50"/>
      <c r="E691" s="50"/>
      <c r="F691" s="51"/>
    </row>
    <row r="692">
      <c r="A692" s="50"/>
      <c r="B692" s="50"/>
      <c r="C692" s="50"/>
      <c r="D692" s="50"/>
      <c r="E692" s="50"/>
      <c r="F692" s="51"/>
    </row>
    <row r="693">
      <c r="A693" s="50"/>
      <c r="B693" s="50"/>
      <c r="C693" s="50"/>
      <c r="D693" s="50"/>
      <c r="E693" s="50"/>
      <c r="F693" s="51"/>
    </row>
    <row r="694">
      <c r="A694" s="50"/>
      <c r="B694" s="50"/>
      <c r="C694" s="50"/>
      <c r="D694" s="50"/>
      <c r="E694" s="50"/>
      <c r="F694" s="51"/>
    </row>
    <row r="695">
      <c r="A695" s="50"/>
      <c r="B695" s="50"/>
      <c r="C695" s="50"/>
      <c r="D695" s="50"/>
      <c r="E695" s="50"/>
      <c r="F695" s="51"/>
    </row>
    <row r="696">
      <c r="A696" s="50"/>
      <c r="B696" s="50"/>
      <c r="C696" s="50"/>
      <c r="D696" s="50"/>
      <c r="E696" s="50"/>
      <c r="F696" s="51"/>
    </row>
    <row r="697">
      <c r="A697" s="50"/>
      <c r="B697" s="50"/>
      <c r="C697" s="50"/>
      <c r="D697" s="50"/>
      <c r="E697" s="50"/>
      <c r="F697" s="51"/>
    </row>
    <row r="698">
      <c r="A698" s="50"/>
      <c r="B698" s="50"/>
      <c r="C698" s="50"/>
      <c r="D698" s="50"/>
      <c r="E698" s="50"/>
      <c r="F698" s="51"/>
    </row>
    <row r="699">
      <c r="A699" s="50"/>
      <c r="B699" s="50"/>
      <c r="C699" s="50"/>
      <c r="D699" s="50"/>
      <c r="E699" s="50"/>
      <c r="F699" s="51"/>
    </row>
    <row r="700">
      <c r="A700" s="50"/>
      <c r="B700" s="50"/>
      <c r="C700" s="50"/>
      <c r="D700" s="50"/>
      <c r="E700" s="50"/>
      <c r="F700" s="51"/>
    </row>
    <row r="701">
      <c r="A701" s="50"/>
      <c r="B701" s="50"/>
      <c r="C701" s="50"/>
      <c r="D701" s="50"/>
      <c r="E701" s="50"/>
      <c r="F701" s="51"/>
    </row>
    <row r="702">
      <c r="A702" s="50"/>
      <c r="B702" s="50"/>
      <c r="C702" s="50"/>
      <c r="D702" s="50"/>
      <c r="E702" s="50"/>
      <c r="F702" s="51"/>
    </row>
    <row r="703">
      <c r="A703" s="50"/>
      <c r="B703" s="50"/>
      <c r="C703" s="50"/>
      <c r="D703" s="50"/>
      <c r="E703" s="50"/>
      <c r="F703" s="51"/>
    </row>
    <row r="704">
      <c r="A704" s="50"/>
      <c r="B704" s="50"/>
      <c r="C704" s="50"/>
      <c r="D704" s="50"/>
      <c r="E704" s="50"/>
      <c r="F704" s="51"/>
    </row>
    <row r="705">
      <c r="A705" s="50"/>
      <c r="B705" s="50"/>
      <c r="C705" s="50"/>
      <c r="D705" s="50"/>
      <c r="E705" s="50"/>
      <c r="F705" s="51"/>
    </row>
    <row r="706">
      <c r="A706" s="50"/>
      <c r="B706" s="50"/>
      <c r="C706" s="50"/>
      <c r="D706" s="50"/>
      <c r="E706" s="50"/>
      <c r="F706" s="51"/>
    </row>
    <row r="707">
      <c r="A707" s="50"/>
      <c r="B707" s="50"/>
      <c r="C707" s="50"/>
      <c r="D707" s="50"/>
      <c r="E707" s="50"/>
      <c r="F707" s="51"/>
    </row>
    <row r="708">
      <c r="A708" s="50"/>
      <c r="B708" s="50"/>
      <c r="C708" s="50"/>
      <c r="D708" s="50"/>
      <c r="E708" s="50"/>
      <c r="F708" s="51"/>
    </row>
    <row r="709">
      <c r="A709" s="50"/>
      <c r="B709" s="50"/>
      <c r="C709" s="50"/>
      <c r="D709" s="50"/>
      <c r="E709" s="50"/>
      <c r="F709" s="51"/>
    </row>
    <row r="710">
      <c r="A710" s="50"/>
      <c r="B710" s="50"/>
      <c r="C710" s="50"/>
      <c r="D710" s="50"/>
      <c r="E710" s="50"/>
      <c r="F710" s="51"/>
    </row>
    <row r="711">
      <c r="A711" s="50"/>
      <c r="B711" s="50"/>
      <c r="C711" s="50"/>
      <c r="D711" s="50"/>
      <c r="E711" s="50"/>
      <c r="F711" s="51"/>
    </row>
    <row r="712">
      <c r="A712" s="50"/>
      <c r="B712" s="50"/>
      <c r="C712" s="50"/>
      <c r="D712" s="50"/>
      <c r="E712" s="50"/>
      <c r="F712" s="51"/>
    </row>
    <row r="713">
      <c r="A713" s="50"/>
      <c r="B713" s="50"/>
      <c r="C713" s="50"/>
      <c r="D713" s="50"/>
      <c r="E713" s="50"/>
      <c r="F713" s="51"/>
    </row>
    <row r="714">
      <c r="A714" s="50"/>
      <c r="B714" s="50"/>
      <c r="C714" s="50"/>
      <c r="D714" s="50"/>
      <c r="E714" s="50"/>
      <c r="F714" s="51"/>
    </row>
    <row r="715">
      <c r="A715" s="50"/>
      <c r="B715" s="50"/>
      <c r="C715" s="50"/>
      <c r="D715" s="50"/>
      <c r="E715" s="50"/>
      <c r="F715" s="51"/>
    </row>
    <row r="716">
      <c r="A716" s="50"/>
      <c r="B716" s="50"/>
      <c r="C716" s="50"/>
      <c r="D716" s="50"/>
      <c r="E716" s="50"/>
      <c r="F716" s="51"/>
    </row>
    <row r="717">
      <c r="A717" s="50"/>
      <c r="B717" s="50"/>
      <c r="C717" s="50"/>
      <c r="D717" s="50"/>
      <c r="E717" s="50"/>
      <c r="F717" s="51"/>
    </row>
    <row r="718">
      <c r="A718" s="50"/>
      <c r="B718" s="50"/>
      <c r="C718" s="50"/>
      <c r="D718" s="50"/>
      <c r="E718" s="50"/>
      <c r="F718" s="51"/>
    </row>
    <row r="719">
      <c r="A719" s="50"/>
      <c r="B719" s="50"/>
      <c r="C719" s="50"/>
      <c r="D719" s="50"/>
      <c r="E719" s="50"/>
      <c r="F719" s="51"/>
    </row>
    <row r="720">
      <c r="A720" s="50"/>
      <c r="B720" s="50"/>
      <c r="C720" s="50"/>
      <c r="D720" s="50"/>
      <c r="E720" s="50"/>
      <c r="F720" s="51"/>
    </row>
    <row r="721">
      <c r="A721" s="50"/>
      <c r="B721" s="50"/>
      <c r="C721" s="50"/>
      <c r="D721" s="50"/>
      <c r="E721" s="50"/>
      <c r="F721" s="51"/>
    </row>
    <row r="722">
      <c r="A722" s="50"/>
      <c r="B722" s="50"/>
      <c r="C722" s="50"/>
      <c r="D722" s="50"/>
      <c r="E722" s="50"/>
      <c r="F722" s="51"/>
    </row>
    <row r="723">
      <c r="A723" s="50"/>
      <c r="B723" s="50"/>
      <c r="C723" s="50"/>
      <c r="D723" s="50"/>
      <c r="E723" s="50"/>
      <c r="F723" s="51"/>
    </row>
    <row r="724">
      <c r="A724" s="50"/>
      <c r="B724" s="50"/>
      <c r="C724" s="50"/>
      <c r="D724" s="50"/>
      <c r="E724" s="50"/>
      <c r="F724" s="51"/>
    </row>
    <row r="725">
      <c r="A725" s="50"/>
      <c r="B725" s="50"/>
      <c r="C725" s="50"/>
      <c r="D725" s="50"/>
      <c r="E725" s="50"/>
      <c r="F725" s="51"/>
    </row>
    <row r="726">
      <c r="A726" s="50"/>
      <c r="B726" s="50"/>
      <c r="C726" s="50"/>
      <c r="D726" s="50"/>
      <c r="E726" s="50"/>
      <c r="F726" s="51"/>
    </row>
    <row r="727">
      <c r="A727" s="50"/>
      <c r="B727" s="50"/>
      <c r="C727" s="50"/>
      <c r="D727" s="50"/>
      <c r="E727" s="50"/>
      <c r="F727" s="51"/>
    </row>
    <row r="728">
      <c r="A728" s="50"/>
      <c r="B728" s="50"/>
      <c r="C728" s="50"/>
      <c r="D728" s="50"/>
      <c r="E728" s="50"/>
      <c r="F728" s="51"/>
    </row>
    <row r="729">
      <c r="A729" s="50"/>
      <c r="B729" s="50"/>
      <c r="C729" s="50"/>
      <c r="D729" s="50"/>
      <c r="E729" s="50"/>
      <c r="F729" s="51"/>
    </row>
    <row r="730">
      <c r="A730" s="50"/>
      <c r="B730" s="50"/>
      <c r="C730" s="50"/>
      <c r="D730" s="50"/>
      <c r="E730" s="50"/>
      <c r="F730" s="51"/>
    </row>
    <row r="731">
      <c r="A731" s="50"/>
      <c r="B731" s="50"/>
      <c r="C731" s="50"/>
      <c r="D731" s="50"/>
      <c r="E731" s="50"/>
      <c r="F731" s="51"/>
    </row>
    <row r="732">
      <c r="A732" s="50"/>
      <c r="B732" s="50"/>
      <c r="C732" s="50"/>
      <c r="D732" s="50"/>
      <c r="E732" s="50"/>
      <c r="F732" s="51"/>
    </row>
    <row r="733">
      <c r="A733" s="50"/>
      <c r="B733" s="50"/>
      <c r="C733" s="50"/>
      <c r="D733" s="50"/>
      <c r="E733" s="50"/>
      <c r="F733" s="51"/>
    </row>
    <row r="734">
      <c r="A734" s="50"/>
      <c r="B734" s="50"/>
      <c r="C734" s="50"/>
      <c r="D734" s="50"/>
      <c r="E734" s="50"/>
      <c r="F734" s="51"/>
    </row>
    <row r="735">
      <c r="A735" s="50"/>
      <c r="B735" s="50"/>
      <c r="C735" s="50"/>
      <c r="D735" s="50"/>
      <c r="E735" s="50"/>
      <c r="F735" s="51"/>
    </row>
    <row r="736">
      <c r="A736" s="50"/>
      <c r="B736" s="50"/>
      <c r="C736" s="50"/>
      <c r="D736" s="50"/>
      <c r="E736" s="50"/>
      <c r="F736" s="51"/>
    </row>
    <row r="737">
      <c r="A737" s="50"/>
      <c r="B737" s="50"/>
      <c r="C737" s="50"/>
      <c r="D737" s="50"/>
      <c r="E737" s="50"/>
      <c r="F737" s="51"/>
    </row>
    <row r="738">
      <c r="A738" s="50"/>
      <c r="B738" s="50"/>
      <c r="C738" s="50"/>
      <c r="D738" s="50"/>
      <c r="E738" s="50"/>
      <c r="F738" s="51"/>
    </row>
    <row r="739">
      <c r="A739" s="50"/>
      <c r="B739" s="50"/>
      <c r="C739" s="50"/>
      <c r="D739" s="50"/>
      <c r="E739" s="50"/>
      <c r="F739" s="51"/>
    </row>
    <row r="740">
      <c r="A740" s="50"/>
      <c r="B740" s="50"/>
      <c r="C740" s="50"/>
      <c r="D740" s="50"/>
      <c r="E740" s="50"/>
      <c r="F740" s="51"/>
    </row>
    <row r="741">
      <c r="A741" s="50"/>
      <c r="B741" s="50"/>
      <c r="C741" s="50"/>
      <c r="D741" s="50"/>
      <c r="E741" s="50"/>
      <c r="F741" s="51"/>
    </row>
    <row r="742">
      <c r="A742" s="50"/>
      <c r="B742" s="50"/>
      <c r="C742" s="50"/>
      <c r="D742" s="50"/>
      <c r="E742" s="50"/>
      <c r="F742" s="51"/>
    </row>
    <row r="743">
      <c r="A743" s="50"/>
      <c r="B743" s="50"/>
      <c r="C743" s="50"/>
      <c r="D743" s="50"/>
      <c r="E743" s="50"/>
      <c r="F743" s="51"/>
    </row>
    <row r="744">
      <c r="A744" s="50"/>
      <c r="B744" s="50"/>
      <c r="C744" s="50"/>
      <c r="D744" s="50"/>
      <c r="E744" s="50"/>
      <c r="F744" s="51"/>
    </row>
    <row r="745">
      <c r="A745" s="50"/>
      <c r="B745" s="50"/>
      <c r="C745" s="50"/>
      <c r="D745" s="50"/>
      <c r="E745" s="50"/>
      <c r="F745" s="51"/>
    </row>
    <row r="746">
      <c r="A746" s="50"/>
      <c r="B746" s="50"/>
      <c r="C746" s="50"/>
      <c r="D746" s="50"/>
      <c r="E746" s="50"/>
      <c r="F746" s="51"/>
    </row>
    <row r="747">
      <c r="A747" s="50"/>
      <c r="B747" s="50"/>
      <c r="C747" s="50"/>
      <c r="D747" s="50"/>
      <c r="E747" s="50"/>
      <c r="F747" s="51"/>
    </row>
    <row r="748">
      <c r="A748" s="50"/>
      <c r="B748" s="50"/>
      <c r="C748" s="50"/>
      <c r="D748" s="50"/>
      <c r="E748" s="50"/>
      <c r="F748" s="51"/>
    </row>
    <row r="749">
      <c r="A749" s="50"/>
      <c r="B749" s="50"/>
      <c r="C749" s="50"/>
      <c r="D749" s="50"/>
      <c r="E749" s="50"/>
      <c r="F749" s="51"/>
    </row>
    <row r="750">
      <c r="A750" s="50"/>
      <c r="B750" s="50"/>
      <c r="C750" s="50"/>
      <c r="D750" s="50"/>
      <c r="E750" s="50"/>
      <c r="F750" s="51"/>
    </row>
    <row r="751">
      <c r="A751" s="50"/>
      <c r="B751" s="50"/>
      <c r="C751" s="50"/>
      <c r="D751" s="50"/>
      <c r="E751" s="50"/>
      <c r="F751" s="51"/>
    </row>
    <row r="752">
      <c r="A752" s="50"/>
      <c r="B752" s="50"/>
      <c r="C752" s="50"/>
      <c r="D752" s="50"/>
      <c r="E752" s="50"/>
      <c r="F752" s="51"/>
    </row>
    <row r="753">
      <c r="A753" s="50"/>
      <c r="B753" s="50"/>
      <c r="C753" s="50"/>
      <c r="D753" s="50"/>
      <c r="E753" s="50"/>
      <c r="F753" s="51"/>
    </row>
    <row r="754">
      <c r="A754" s="50"/>
      <c r="B754" s="50"/>
      <c r="C754" s="50"/>
      <c r="D754" s="50"/>
      <c r="E754" s="50"/>
      <c r="F754" s="51"/>
    </row>
    <row r="755">
      <c r="A755" s="50"/>
      <c r="B755" s="50"/>
      <c r="C755" s="50"/>
      <c r="D755" s="50"/>
      <c r="E755" s="50"/>
      <c r="F755" s="51"/>
    </row>
    <row r="756">
      <c r="A756" s="50"/>
      <c r="B756" s="50"/>
      <c r="C756" s="50"/>
      <c r="D756" s="50"/>
      <c r="E756" s="50"/>
      <c r="F756" s="51"/>
    </row>
    <row r="757">
      <c r="A757" s="50"/>
      <c r="B757" s="50"/>
      <c r="C757" s="50"/>
      <c r="D757" s="50"/>
      <c r="E757" s="50"/>
      <c r="F757" s="51"/>
    </row>
    <row r="758">
      <c r="A758" s="50"/>
      <c r="B758" s="50"/>
      <c r="C758" s="50"/>
      <c r="D758" s="50"/>
      <c r="E758" s="50"/>
      <c r="F758" s="51"/>
    </row>
    <row r="759">
      <c r="A759" s="50"/>
      <c r="B759" s="50"/>
      <c r="C759" s="50"/>
      <c r="D759" s="50"/>
      <c r="E759" s="50"/>
      <c r="F759" s="51"/>
    </row>
    <row r="760">
      <c r="A760" s="50"/>
      <c r="B760" s="50"/>
      <c r="C760" s="50"/>
      <c r="D760" s="50"/>
      <c r="E760" s="50"/>
      <c r="F760" s="51"/>
    </row>
    <row r="761">
      <c r="A761" s="50"/>
      <c r="B761" s="50"/>
      <c r="C761" s="50"/>
      <c r="D761" s="50"/>
      <c r="E761" s="50"/>
      <c r="F761" s="51"/>
    </row>
    <row r="762">
      <c r="A762" s="50"/>
      <c r="B762" s="50"/>
      <c r="C762" s="50"/>
      <c r="D762" s="50"/>
      <c r="E762" s="50"/>
      <c r="F762" s="51"/>
    </row>
    <row r="763">
      <c r="A763" s="50"/>
      <c r="B763" s="50"/>
      <c r="C763" s="50"/>
      <c r="D763" s="50"/>
      <c r="E763" s="50"/>
      <c r="F763" s="51"/>
    </row>
    <row r="764">
      <c r="A764" s="50"/>
      <c r="B764" s="50"/>
      <c r="C764" s="50"/>
      <c r="D764" s="50"/>
      <c r="E764" s="50"/>
      <c r="F764" s="51"/>
    </row>
    <row r="765">
      <c r="A765" s="50"/>
      <c r="B765" s="50"/>
      <c r="C765" s="50"/>
      <c r="D765" s="50"/>
      <c r="E765" s="50"/>
      <c r="F765" s="51"/>
    </row>
    <row r="766">
      <c r="A766" s="50"/>
      <c r="B766" s="50"/>
      <c r="C766" s="50"/>
      <c r="D766" s="50"/>
      <c r="E766" s="50"/>
      <c r="F766" s="51"/>
    </row>
    <row r="767">
      <c r="A767" s="50"/>
      <c r="B767" s="50"/>
      <c r="C767" s="50"/>
      <c r="D767" s="50"/>
      <c r="E767" s="50"/>
      <c r="F767" s="51"/>
    </row>
    <row r="768">
      <c r="A768" s="50"/>
      <c r="B768" s="50"/>
      <c r="C768" s="50"/>
      <c r="D768" s="50"/>
      <c r="E768" s="50"/>
      <c r="F768" s="51"/>
    </row>
    <row r="769">
      <c r="A769" s="50"/>
      <c r="B769" s="50"/>
      <c r="C769" s="50"/>
      <c r="D769" s="50"/>
      <c r="E769" s="50"/>
      <c r="F769" s="51"/>
    </row>
    <row r="770">
      <c r="A770" s="50"/>
      <c r="B770" s="50"/>
      <c r="C770" s="50"/>
      <c r="D770" s="50"/>
      <c r="E770" s="50"/>
      <c r="F770" s="51"/>
    </row>
    <row r="771">
      <c r="A771" s="50"/>
      <c r="B771" s="50"/>
      <c r="C771" s="50"/>
      <c r="D771" s="50"/>
      <c r="E771" s="50"/>
      <c r="F771" s="51"/>
    </row>
    <row r="772">
      <c r="A772" s="50"/>
      <c r="B772" s="50"/>
      <c r="C772" s="50"/>
      <c r="D772" s="50"/>
      <c r="E772" s="50"/>
      <c r="F772" s="51"/>
    </row>
    <row r="773">
      <c r="A773" s="50"/>
      <c r="B773" s="50"/>
      <c r="C773" s="50"/>
      <c r="D773" s="50"/>
      <c r="E773" s="50"/>
      <c r="F773" s="51"/>
    </row>
    <row r="774">
      <c r="A774" s="50"/>
      <c r="B774" s="50"/>
      <c r="C774" s="50"/>
      <c r="D774" s="50"/>
      <c r="E774" s="50"/>
      <c r="F774" s="51"/>
    </row>
    <row r="775">
      <c r="A775" s="50"/>
      <c r="B775" s="50"/>
      <c r="C775" s="50"/>
      <c r="D775" s="50"/>
      <c r="E775" s="50"/>
      <c r="F775" s="51"/>
    </row>
    <row r="776">
      <c r="A776" s="50"/>
      <c r="B776" s="50"/>
      <c r="C776" s="50"/>
      <c r="D776" s="50"/>
      <c r="E776" s="50"/>
      <c r="F776" s="51"/>
    </row>
    <row r="777">
      <c r="A777" s="50"/>
      <c r="B777" s="50"/>
      <c r="C777" s="50"/>
      <c r="D777" s="50"/>
      <c r="E777" s="50"/>
      <c r="F777" s="51"/>
    </row>
    <row r="778">
      <c r="A778" s="50"/>
      <c r="B778" s="50"/>
      <c r="C778" s="50"/>
      <c r="D778" s="50"/>
      <c r="E778" s="50"/>
      <c r="F778" s="51"/>
    </row>
    <row r="779">
      <c r="A779" s="50"/>
      <c r="B779" s="50"/>
      <c r="C779" s="50"/>
      <c r="D779" s="50"/>
      <c r="E779" s="50"/>
      <c r="F779" s="51"/>
    </row>
    <row r="780">
      <c r="A780" s="50"/>
      <c r="B780" s="50"/>
      <c r="C780" s="50"/>
      <c r="D780" s="50"/>
      <c r="E780" s="50"/>
      <c r="F780" s="51"/>
    </row>
    <row r="781">
      <c r="A781" s="50"/>
      <c r="B781" s="50"/>
      <c r="C781" s="50"/>
      <c r="D781" s="50"/>
      <c r="E781" s="50"/>
      <c r="F781" s="51"/>
    </row>
    <row r="782">
      <c r="A782" s="50"/>
      <c r="B782" s="50"/>
      <c r="C782" s="50"/>
      <c r="D782" s="50"/>
      <c r="E782" s="50"/>
      <c r="F782" s="51"/>
    </row>
    <row r="783">
      <c r="A783" s="50"/>
      <c r="B783" s="50"/>
      <c r="C783" s="50"/>
      <c r="D783" s="50"/>
      <c r="E783" s="50"/>
      <c r="F783" s="51"/>
    </row>
    <row r="784">
      <c r="A784" s="50"/>
      <c r="B784" s="50"/>
      <c r="C784" s="50"/>
      <c r="D784" s="50"/>
      <c r="E784" s="50"/>
      <c r="F784" s="51"/>
    </row>
    <row r="785">
      <c r="A785" s="50"/>
      <c r="B785" s="50"/>
      <c r="C785" s="50"/>
      <c r="D785" s="50"/>
      <c r="E785" s="50"/>
      <c r="F785" s="51"/>
    </row>
    <row r="786">
      <c r="A786" s="50"/>
      <c r="B786" s="50"/>
      <c r="C786" s="50"/>
      <c r="D786" s="50"/>
      <c r="E786" s="50"/>
      <c r="F786" s="51"/>
    </row>
    <row r="787">
      <c r="A787" s="50"/>
      <c r="B787" s="50"/>
      <c r="C787" s="50"/>
      <c r="D787" s="50"/>
      <c r="E787" s="50"/>
      <c r="F787" s="51"/>
    </row>
    <row r="788">
      <c r="A788" s="50"/>
      <c r="B788" s="50"/>
      <c r="C788" s="50"/>
      <c r="D788" s="50"/>
      <c r="E788" s="50"/>
      <c r="F788" s="51"/>
    </row>
    <row r="789">
      <c r="A789" s="50"/>
      <c r="B789" s="50"/>
      <c r="C789" s="50"/>
      <c r="D789" s="50"/>
      <c r="E789" s="50"/>
      <c r="F789" s="51"/>
    </row>
    <row r="790">
      <c r="A790" s="50"/>
      <c r="B790" s="50"/>
      <c r="C790" s="50"/>
      <c r="D790" s="50"/>
      <c r="E790" s="50"/>
      <c r="F790" s="51"/>
    </row>
    <row r="791">
      <c r="A791" s="50"/>
      <c r="B791" s="50"/>
      <c r="C791" s="50"/>
      <c r="D791" s="50"/>
      <c r="E791" s="50"/>
      <c r="F791" s="51"/>
    </row>
    <row r="792">
      <c r="A792" s="50"/>
      <c r="B792" s="50"/>
      <c r="C792" s="50"/>
      <c r="D792" s="50"/>
      <c r="E792" s="50"/>
      <c r="F792" s="51"/>
    </row>
    <row r="793">
      <c r="A793" s="50"/>
      <c r="B793" s="50"/>
      <c r="C793" s="50"/>
      <c r="D793" s="50"/>
      <c r="E793" s="50"/>
      <c r="F793" s="51"/>
    </row>
    <row r="794">
      <c r="A794" s="50"/>
      <c r="B794" s="50"/>
      <c r="C794" s="50"/>
      <c r="D794" s="50"/>
      <c r="E794" s="50"/>
      <c r="F794" s="51"/>
    </row>
    <row r="795">
      <c r="A795" s="50"/>
      <c r="B795" s="50"/>
      <c r="C795" s="50"/>
      <c r="D795" s="50"/>
      <c r="E795" s="50"/>
      <c r="F795" s="51"/>
    </row>
    <row r="796">
      <c r="A796" s="50"/>
      <c r="B796" s="50"/>
      <c r="C796" s="50"/>
      <c r="D796" s="50"/>
      <c r="E796" s="50"/>
      <c r="F796" s="51"/>
    </row>
    <row r="797">
      <c r="A797" s="50"/>
      <c r="B797" s="50"/>
      <c r="C797" s="50"/>
      <c r="D797" s="50"/>
      <c r="E797" s="50"/>
      <c r="F797" s="51"/>
    </row>
    <row r="798">
      <c r="A798" s="50"/>
      <c r="B798" s="50"/>
      <c r="C798" s="50"/>
      <c r="D798" s="50"/>
      <c r="E798" s="50"/>
      <c r="F798" s="51"/>
    </row>
    <row r="799">
      <c r="A799" s="50"/>
      <c r="B799" s="50"/>
      <c r="C799" s="50"/>
      <c r="D799" s="50"/>
      <c r="E799" s="50"/>
      <c r="F799" s="51"/>
    </row>
    <row r="800">
      <c r="A800" s="50"/>
      <c r="B800" s="50"/>
      <c r="C800" s="50"/>
      <c r="D800" s="50"/>
      <c r="E800" s="50"/>
      <c r="F800" s="51"/>
    </row>
    <row r="801">
      <c r="A801" s="50"/>
      <c r="B801" s="50"/>
      <c r="C801" s="50"/>
      <c r="D801" s="50"/>
      <c r="E801" s="50"/>
      <c r="F801" s="51"/>
    </row>
    <row r="802">
      <c r="A802" s="50"/>
      <c r="B802" s="50"/>
      <c r="C802" s="50"/>
      <c r="D802" s="50"/>
      <c r="E802" s="50"/>
      <c r="F802" s="51"/>
    </row>
    <row r="803">
      <c r="A803" s="50"/>
      <c r="B803" s="50"/>
      <c r="C803" s="50"/>
      <c r="D803" s="50"/>
      <c r="E803" s="50"/>
      <c r="F803" s="51"/>
    </row>
    <row r="804">
      <c r="A804" s="50"/>
      <c r="B804" s="50"/>
      <c r="C804" s="50"/>
      <c r="D804" s="50"/>
      <c r="E804" s="50"/>
      <c r="F804" s="51"/>
    </row>
    <row r="805">
      <c r="A805" s="50"/>
      <c r="B805" s="50"/>
      <c r="C805" s="50"/>
      <c r="D805" s="50"/>
      <c r="E805" s="50"/>
      <c r="F805" s="51"/>
    </row>
    <row r="806">
      <c r="A806" s="50"/>
      <c r="B806" s="50"/>
      <c r="C806" s="50"/>
      <c r="D806" s="50"/>
      <c r="E806" s="50"/>
      <c r="F806" s="51"/>
    </row>
    <row r="807">
      <c r="A807" s="50"/>
      <c r="B807" s="50"/>
      <c r="C807" s="50"/>
      <c r="D807" s="50"/>
      <c r="E807" s="50"/>
      <c r="F807" s="51"/>
    </row>
    <row r="808">
      <c r="A808" s="50"/>
      <c r="B808" s="50"/>
      <c r="C808" s="50"/>
      <c r="D808" s="50"/>
      <c r="E808" s="50"/>
      <c r="F808" s="51"/>
    </row>
    <row r="809">
      <c r="A809" s="50"/>
      <c r="B809" s="50"/>
      <c r="C809" s="50"/>
      <c r="D809" s="50"/>
      <c r="E809" s="50"/>
      <c r="F809" s="51"/>
    </row>
    <row r="810">
      <c r="A810" s="50"/>
      <c r="B810" s="50"/>
      <c r="C810" s="50"/>
      <c r="D810" s="50"/>
      <c r="E810" s="50"/>
      <c r="F810" s="51"/>
    </row>
    <row r="811">
      <c r="A811" s="50"/>
      <c r="B811" s="50"/>
      <c r="C811" s="50"/>
      <c r="D811" s="50"/>
      <c r="E811" s="50"/>
      <c r="F811" s="51"/>
    </row>
    <row r="812">
      <c r="A812" s="50"/>
      <c r="B812" s="50"/>
      <c r="C812" s="50"/>
      <c r="D812" s="50"/>
      <c r="E812" s="50"/>
      <c r="F812" s="51"/>
    </row>
    <row r="813">
      <c r="A813" s="50"/>
      <c r="B813" s="50"/>
      <c r="C813" s="50"/>
      <c r="D813" s="50"/>
      <c r="E813" s="50"/>
      <c r="F813" s="51"/>
    </row>
    <row r="814">
      <c r="A814" s="50"/>
      <c r="B814" s="50"/>
      <c r="C814" s="50"/>
      <c r="D814" s="50"/>
      <c r="E814" s="50"/>
      <c r="F814" s="51"/>
    </row>
    <row r="815">
      <c r="A815" s="50"/>
      <c r="B815" s="50"/>
      <c r="C815" s="50"/>
      <c r="D815" s="50"/>
      <c r="E815" s="50"/>
      <c r="F815" s="51"/>
    </row>
    <row r="816">
      <c r="A816" s="50"/>
      <c r="B816" s="50"/>
      <c r="C816" s="50"/>
      <c r="D816" s="50"/>
      <c r="E816" s="50"/>
      <c r="F816" s="51"/>
    </row>
    <row r="817">
      <c r="A817" s="50"/>
      <c r="B817" s="50"/>
      <c r="C817" s="50"/>
      <c r="D817" s="50"/>
      <c r="E817" s="50"/>
      <c r="F817" s="51"/>
    </row>
    <row r="818">
      <c r="A818" s="50"/>
      <c r="B818" s="50"/>
      <c r="C818" s="50"/>
      <c r="D818" s="50"/>
      <c r="E818" s="50"/>
      <c r="F818" s="51"/>
    </row>
    <row r="819">
      <c r="A819" s="50"/>
      <c r="B819" s="50"/>
      <c r="C819" s="50"/>
      <c r="D819" s="50"/>
      <c r="E819" s="50"/>
      <c r="F819" s="51"/>
    </row>
    <row r="820">
      <c r="A820" s="50"/>
      <c r="B820" s="50"/>
      <c r="C820" s="50"/>
      <c r="D820" s="50"/>
      <c r="E820" s="50"/>
      <c r="F820" s="51"/>
    </row>
    <row r="821">
      <c r="A821" s="50"/>
      <c r="B821" s="50"/>
      <c r="C821" s="50"/>
      <c r="D821" s="50"/>
      <c r="E821" s="50"/>
      <c r="F821" s="51"/>
    </row>
    <row r="822">
      <c r="A822" s="50"/>
      <c r="B822" s="50"/>
      <c r="C822" s="50"/>
      <c r="D822" s="50"/>
      <c r="E822" s="50"/>
      <c r="F822" s="51"/>
    </row>
    <row r="823">
      <c r="A823" s="50"/>
      <c r="B823" s="50"/>
      <c r="C823" s="50"/>
      <c r="D823" s="50"/>
      <c r="E823" s="50"/>
      <c r="F823" s="51"/>
    </row>
    <row r="824">
      <c r="A824" s="50"/>
      <c r="B824" s="50"/>
      <c r="C824" s="50"/>
      <c r="D824" s="50"/>
      <c r="E824" s="50"/>
      <c r="F824" s="51"/>
    </row>
    <row r="825">
      <c r="A825" s="50"/>
      <c r="B825" s="50"/>
      <c r="C825" s="50"/>
      <c r="D825" s="50"/>
      <c r="E825" s="50"/>
      <c r="F825" s="51"/>
    </row>
    <row r="826">
      <c r="A826" s="50"/>
      <c r="B826" s="50"/>
      <c r="C826" s="50"/>
      <c r="D826" s="50"/>
      <c r="E826" s="50"/>
      <c r="F826" s="51"/>
    </row>
    <row r="827">
      <c r="A827" s="50"/>
      <c r="B827" s="50"/>
      <c r="C827" s="50"/>
      <c r="D827" s="50"/>
      <c r="E827" s="50"/>
      <c r="F827" s="51"/>
    </row>
    <row r="828">
      <c r="A828" s="50"/>
      <c r="B828" s="50"/>
      <c r="C828" s="50"/>
      <c r="D828" s="50"/>
      <c r="E828" s="50"/>
      <c r="F828" s="51"/>
    </row>
    <row r="829">
      <c r="A829" s="50"/>
      <c r="B829" s="50"/>
      <c r="C829" s="50"/>
      <c r="D829" s="50"/>
      <c r="E829" s="50"/>
      <c r="F829" s="51"/>
    </row>
    <row r="830">
      <c r="A830" s="50"/>
      <c r="B830" s="50"/>
      <c r="C830" s="50"/>
      <c r="D830" s="50"/>
      <c r="E830" s="50"/>
      <c r="F830" s="51"/>
    </row>
    <row r="831">
      <c r="A831" s="50"/>
      <c r="B831" s="50"/>
      <c r="C831" s="50"/>
      <c r="D831" s="50"/>
      <c r="E831" s="50"/>
      <c r="F831" s="51"/>
    </row>
    <row r="832">
      <c r="A832" s="50"/>
      <c r="B832" s="50"/>
      <c r="C832" s="50"/>
      <c r="D832" s="50"/>
      <c r="E832" s="50"/>
      <c r="F832" s="51"/>
    </row>
    <row r="833">
      <c r="A833" s="50"/>
      <c r="B833" s="50"/>
      <c r="C833" s="50"/>
      <c r="D833" s="50"/>
      <c r="E833" s="50"/>
      <c r="F833" s="51"/>
    </row>
    <row r="834">
      <c r="A834" s="50"/>
      <c r="B834" s="50"/>
      <c r="C834" s="50"/>
      <c r="D834" s="50"/>
      <c r="E834" s="50"/>
      <c r="F834" s="51"/>
    </row>
    <row r="835">
      <c r="A835" s="50"/>
      <c r="B835" s="50"/>
      <c r="C835" s="50"/>
      <c r="D835" s="50"/>
      <c r="E835" s="50"/>
      <c r="F835" s="51"/>
    </row>
    <row r="836">
      <c r="A836" s="50"/>
      <c r="B836" s="50"/>
      <c r="C836" s="50"/>
      <c r="D836" s="50"/>
      <c r="E836" s="50"/>
      <c r="F836" s="51"/>
    </row>
    <row r="837">
      <c r="A837" s="50"/>
      <c r="B837" s="50"/>
      <c r="C837" s="50"/>
      <c r="D837" s="50"/>
      <c r="E837" s="50"/>
      <c r="F837" s="51"/>
    </row>
    <row r="838">
      <c r="A838" s="50"/>
      <c r="B838" s="50"/>
      <c r="C838" s="50"/>
      <c r="D838" s="50"/>
      <c r="E838" s="50"/>
      <c r="F838" s="51"/>
    </row>
    <row r="839">
      <c r="A839" s="50"/>
      <c r="B839" s="50"/>
      <c r="C839" s="50"/>
      <c r="D839" s="50"/>
      <c r="E839" s="50"/>
      <c r="F839" s="51"/>
    </row>
    <row r="840">
      <c r="A840" s="50"/>
      <c r="B840" s="50"/>
      <c r="C840" s="50"/>
      <c r="D840" s="50"/>
      <c r="E840" s="50"/>
      <c r="F840" s="51"/>
    </row>
    <row r="841">
      <c r="A841" s="50"/>
      <c r="B841" s="50"/>
      <c r="C841" s="50"/>
      <c r="D841" s="50"/>
      <c r="E841" s="50"/>
      <c r="F841" s="51"/>
    </row>
    <row r="842">
      <c r="A842" s="50"/>
      <c r="B842" s="50"/>
      <c r="C842" s="50"/>
      <c r="D842" s="50"/>
      <c r="E842" s="50"/>
      <c r="F842" s="51"/>
    </row>
    <row r="843">
      <c r="A843" s="50"/>
      <c r="B843" s="50"/>
      <c r="C843" s="50"/>
      <c r="D843" s="50"/>
      <c r="E843" s="50"/>
      <c r="F843" s="51"/>
    </row>
    <row r="844">
      <c r="A844" s="50"/>
      <c r="B844" s="50"/>
      <c r="C844" s="50"/>
      <c r="D844" s="50"/>
      <c r="E844" s="50"/>
      <c r="F844" s="51"/>
    </row>
    <row r="845">
      <c r="A845" s="50"/>
      <c r="B845" s="50"/>
      <c r="C845" s="50"/>
      <c r="D845" s="50"/>
      <c r="E845" s="50"/>
      <c r="F845" s="51"/>
    </row>
    <row r="846">
      <c r="A846" s="50"/>
      <c r="B846" s="50"/>
      <c r="C846" s="50"/>
      <c r="D846" s="50"/>
      <c r="E846" s="50"/>
      <c r="F846" s="51"/>
    </row>
    <row r="847">
      <c r="A847" s="50"/>
      <c r="B847" s="50"/>
      <c r="C847" s="50"/>
      <c r="D847" s="50"/>
      <c r="E847" s="50"/>
      <c r="F847" s="51"/>
    </row>
    <row r="848">
      <c r="A848" s="50"/>
      <c r="B848" s="50"/>
      <c r="C848" s="50"/>
      <c r="D848" s="50"/>
      <c r="E848" s="50"/>
      <c r="F848" s="51"/>
    </row>
    <row r="849">
      <c r="A849" s="50"/>
      <c r="B849" s="50"/>
      <c r="C849" s="50"/>
      <c r="D849" s="50"/>
      <c r="E849" s="50"/>
      <c r="F849" s="51"/>
    </row>
    <row r="850">
      <c r="A850" s="50"/>
      <c r="B850" s="50"/>
      <c r="C850" s="50"/>
      <c r="D850" s="50"/>
      <c r="E850" s="50"/>
      <c r="F850" s="51"/>
    </row>
    <row r="851">
      <c r="A851" s="50"/>
      <c r="B851" s="50"/>
      <c r="C851" s="50"/>
      <c r="D851" s="50"/>
      <c r="E851" s="50"/>
      <c r="F851" s="51"/>
    </row>
    <row r="852">
      <c r="A852" s="50"/>
      <c r="B852" s="50"/>
      <c r="C852" s="50"/>
      <c r="D852" s="50"/>
      <c r="E852" s="50"/>
      <c r="F852" s="51"/>
    </row>
    <row r="853">
      <c r="A853" s="50"/>
      <c r="B853" s="50"/>
      <c r="C853" s="50"/>
      <c r="D853" s="50"/>
      <c r="E853" s="50"/>
      <c r="F853" s="51"/>
    </row>
    <row r="854">
      <c r="A854" s="50"/>
      <c r="B854" s="50"/>
      <c r="C854" s="50"/>
      <c r="D854" s="50"/>
      <c r="E854" s="50"/>
      <c r="F854" s="51"/>
    </row>
    <row r="855">
      <c r="A855" s="50"/>
      <c r="B855" s="50"/>
      <c r="C855" s="50"/>
      <c r="D855" s="50"/>
      <c r="E855" s="50"/>
      <c r="F855" s="51"/>
    </row>
    <row r="856">
      <c r="A856" s="50"/>
      <c r="B856" s="50"/>
      <c r="C856" s="50"/>
      <c r="D856" s="50"/>
      <c r="E856" s="50"/>
      <c r="F856" s="51"/>
    </row>
    <row r="857">
      <c r="A857" s="50"/>
      <c r="B857" s="50"/>
      <c r="C857" s="50"/>
      <c r="D857" s="50"/>
      <c r="E857" s="50"/>
      <c r="F857" s="51"/>
    </row>
    <row r="858">
      <c r="A858" s="50"/>
      <c r="B858" s="50"/>
      <c r="C858" s="50"/>
      <c r="D858" s="50"/>
      <c r="E858" s="50"/>
      <c r="F858" s="51"/>
    </row>
    <row r="859">
      <c r="A859" s="50"/>
      <c r="B859" s="50"/>
      <c r="C859" s="50"/>
      <c r="D859" s="50"/>
      <c r="E859" s="50"/>
      <c r="F859" s="51"/>
    </row>
    <row r="860">
      <c r="A860" s="50"/>
      <c r="B860" s="50"/>
      <c r="C860" s="50"/>
      <c r="D860" s="50"/>
      <c r="E860" s="50"/>
      <c r="F860" s="51"/>
    </row>
    <row r="861">
      <c r="A861" s="50"/>
      <c r="B861" s="50"/>
      <c r="C861" s="50"/>
      <c r="D861" s="50"/>
      <c r="E861" s="50"/>
      <c r="F861" s="51"/>
    </row>
    <row r="862">
      <c r="A862" s="50"/>
      <c r="B862" s="50"/>
      <c r="C862" s="50"/>
      <c r="D862" s="50"/>
      <c r="E862" s="50"/>
      <c r="F862" s="51"/>
    </row>
    <row r="863">
      <c r="A863" s="50"/>
      <c r="B863" s="50"/>
      <c r="C863" s="50"/>
      <c r="D863" s="50"/>
      <c r="E863" s="50"/>
      <c r="F863" s="51"/>
    </row>
    <row r="864">
      <c r="A864" s="50"/>
      <c r="B864" s="50"/>
      <c r="C864" s="50"/>
      <c r="D864" s="50"/>
      <c r="E864" s="50"/>
      <c r="F864" s="51"/>
    </row>
    <row r="865">
      <c r="A865" s="50"/>
      <c r="B865" s="50"/>
      <c r="C865" s="50"/>
      <c r="D865" s="50"/>
      <c r="E865" s="50"/>
      <c r="F865" s="51"/>
    </row>
    <row r="866">
      <c r="A866" s="50"/>
      <c r="B866" s="50"/>
      <c r="C866" s="50"/>
      <c r="D866" s="50"/>
      <c r="E866" s="50"/>
      <c r="F866" s="51"/>
    </row>
    <row r="867">
      <c r="A867" s="50"/>
      <c r="B867" s="50"/>
      <c r="C867" s="50"/>
      <c r="D867" s="50"/>
      <c r="E867" s="50"/>
      <c r="F867" s="51"/>
    </row>
    <row r="868">
      <c r="A868" s="50"/>
      <c r="B868" s="50"/>
      <c r="C868" s="50"/>
      <c r="D868" s="50"/>
      <c r="E868" s="50"/>
      <c r="F868" s="51"/>
    </row>
    <row r="869">
      <c r="A869" s="50"/>
      <c r="B869" s="50"/>
      <c r="C869" s="50"/>
      <c r="D869" s="50"/>
      <c r="E869" s="50"/>
      <c r="F869" s="51"/>
    </row>
    <row r="870">
      <c r="A870" s="50"/>
      <c r="B870" s="50"/>
      <c r="C870" s="50"/>
      <c r="D870" s="50"/>
      <c r="E870" s="50"/>
      <c r="F870" s="51"/>
    </row>
    <row r="871">
      <c r="A871" s="50"/>
      <c r="B871" s="50"/>
      <c r="C871" s="50"/>
      <c r="D871" s="50"/>
      <c r="E871" s="50"/>
      <c r="F871" s="51"/>
    </row>
    <row r="872">
      <c r="A872" s="50"/>
      <c r="B872" s="50"/>
      <c r="C872" s="50"/>
      <c r="D872" s="50"/>
      <c r="E872" s="50"/>
      <c r="F872" s="51"/>
    </row>
    <row r="873">
      <c r="A873" s="50"/>
      <c r="B873" s="50"/>
      <c r="C873" s="50"/>
      <c r="D873" s="50"/>
      <c r="E873" s="50"/>
      <c r="F873" s="51"/>
    </row>
    <row r="874">
      <c r="A874" s="50"/>
      <c r="B874" s="50"/>
      <c r="C874" s="50"/>
      <c r="D874" s="50"/>
      <c r="E874" s="50"/>
      <c r="F874" s="51"/>
    </row>
    <row r="875">
      <c r="A875" s="50"/>
      <c r="B875" s="50"/>
      <c r="C875" s="50"/>
      <c r="D875" s="50"/>
      <c r="E875" s="50"/>
      <c r="F875" s="51"/>
    </row>
    <row r="876">
      <c r="A876" s="50"/>
      <c r="B876" s="50"/>
      <c r="C876" s="50"/>
      <c r="D876" s="50"/>
      <c r="E876" s="50"/>
      <c r="F876" s="51"/>
    </row>
    <row r="877">
      <c r="A877" s="50"/>
      <c r="B877" s="50"/>
      <c r="C877" s="50"/>
      <c r="D877" s="50"/>
      <c r="E877" s="50"/>
      <c r="F877" s="51"/>
    </row>
    <row r="878">
      <c r="A878" s="50"/>
      <c r="B878" s="50"/>
      <c r="C878" s="50"/>
      <c r="D878" s="50"/>
      <c r="E878" s="50"/>
      <c r="F878" s="51"/>
    </row>
    <row r="879">
      <c r="A879" s="50"/>
      <c r="B879" s="50"/>
      <c r="C879" s="50"/>
      <c r="D879" s="50"/>
      <c r="E879" s="50"/>
      <c r="F879" s="51"/>
    </row>
    <row r="880">
      <c r="A880" s="50"/>
      <c r="B880" s="50"/>
      <c r="C880" s="50"/>
      <c r="D880" s="50"/>
      <c r="E880" s="50"/>
      <c r="F880" s="51"/>
    </row>
    <row r="881">
      <c r="A881" s="50"/>
      <c r="B881" s="50"/>
      <c r="C881" s="50"/>
      <c r="D881" s="50"/>
      <c r="E881" s="50"/>
      <c r="F881" s="51"/>
    </row>
    <row r="882">
      <c r="A882" s="50"/>
      <c r="B882" s="50"/>
      <c r="C882" s="50"/>
      <c r="D882" s="50"/>
      <c r="E882" s="50"/>
      <c r="F882" s="51"/>
    </row>
    <row r="883">
      <c r="A883" s="50"/>
      <c r="B883" s="50"/>
      <c r="C883" s="50"/>
      <c r="D883" s="50"/>
      <c r="E883" s="50"/>
      <c r="F883" s="51"/>
    </row>
    <row r="884">
      <c r="A884" s="50"/>
      <c r="B884" s="50"/>
      <c r="C884" s="50"/>
      <c r="D884" s="50"/>
      <c r="E884" s="50"/>
      <c r="F884" s="51"/>
    </row>
    <row r="885">
      <c r="A885" s="50"/>
      <c r="B885" s="50"/>
      <c r="C885" s="50"/>
      <c r="D885" s="50"/>
      <c r="E885" s="50"/>
      <c r="F885" s="51"/>
    </row>
    <row r="886">
      <c r="A886" s="50"/>
      <c r="B886" s="50"/>
      <c r="C886" s="50"/>
      <c r="D886" s="50"/>
      <c r="E886" s="50"/>
      <c r="F886" s="51"/>
    </row>
    <row r="887">
      <c r="A887" s="50"/>
      <c r="B887" s="50"/>
      <c r="C887" s="50"/>
      <c r="D887" s="50"/>
      <c r="E887" s="50"/>
      <c r="F887" s="51"/>
    </row>
    <row r="888">
      <c r="A888" s="50"/>
      <c r="B888" s="50"/>
      <c r="C888" s="50"/>
      <c r="D888" s="50"/>
      <c r="E888" s="50"/>
      <c r="F888" s="51"/>
    </row>
    <row r="889">
      <c r="A889" s="50"/>
      <c r="B889" s="50"/>
      <c r="C889" s="50"/>
      <c r="D889" s="50"/>
      <c r="E889" s="50"/>
      <c r="F889" s="51"/>
    </row>
    <row r="890">
      <c r="A890" s="50"/>
      <c r="B890" s="50"/>
      <c r="C890" s="50"/>
      <c r="D890" s="50"/>
      <c r="E890" s="50"/>
      <c r="F890" s="51"/>
    </row>
    <row r="891">
      <c r="A891" s="50"/>
      <c r="B891" s="50"/>
      <c r="C891" s="50"/>
      <c r="D891" s="50"/>
      <c r="E891" s="50"/>
      <c r="F891" s="51"/>
    </row>
    <row r="892">
      <c r="A892" s="50"/>
      <c r="B892" s="50"/>
      <c r="C892" s="50"/>
      <c r="D892" s="50"/>
      <c r="E892" s="50"/>
      <c r="F892" s="51"/>
    </row>
    <row r="893">
      <c r="A893" s="50"/>
      <c r="B893" s="50"/>
      <c r="C893" s="50"/>
      <c r="D893" s="50"/>
      <c r="E893" s="50"/>
      <c r="F893" s="51"/>
    </row>
    <row r="894">
      <c r="A894" s="50"/>
      <c r="B894" s="50"/>
      <c r="C894" s="50"/>
      <c r="D894" s="50"/>
      <c r="E894" s="50"/>
      <c r="F894" s="51"/>
    </row>
    <row r="895">
      <c r="A895" s="50"/>
      <c r="B895" s="50"/>
      <c r="C895" s="50"/>
      <c r="D895" s="50"/>
      <c r="E895" s="50"/>
      <c r="F895" s="51"/>
    </row>
    <row r="896">
      <c r="A896" s="50"/>
      <c r="B896" s="50"/>
      <c r="C896" s="50"/>
      <c r="D896" s="50"/>
      <c r="E896" s="50"/>
      <c r="F896" s="51"/>
    </row>
    <row r="897">
      <c r="A897" s="50"/>
      <c r="B897" s="50"/>
      <c r="C897" s="50"/>
      <c r="D897" s="50"/>
      <c r="E897" s="50"/>
      <c r="F897" s="51"/>
    </row>
    <row r="898">
      <c r="A898" s="50"/>
      <c r="B898" s="50"/>
      <c r="C898" s="50"/>
      <c r="D898" s="50"/>
      <c r="E898" s="50"/>
      <c r="F898" s="51"/>
    </row>
    <row r="899">
      <c r="A899" s="50"/>
      <c r="B899" s="50"/>
      <c r="C899" s="50"/>
      <c r="D899" s="50"/>
      <c r="E899" s="50"/>
      <c r="F899" s="51"/>
    </row>
    <row r="900">
      <c r="A900" s="50"/>
      <c r="B900" s="50"/>
      <c r="C900" s="50"/>
      <c r="D900" s="50"/>
      <c r="E900" s="50"/>
      <c r="F900" s="51"/>
    </row>
    <row r="901">
      <c r="A901" s="50"/>
      <c r="B901" s="50"/>
      <c r="C901" s="50"/>
      <c r="D901" s="50"/>
      <c r="E901" s="50"/>
      <c r="F901" s="51"/>
    </row>
    <row r="902">
      <c r="A902" s="50"/>
      <c r="B902" s="50"/>
      <c r="C902" s="50"/>
      <c r="D902" s="50"/>
      <c r="E902" s="50"/>
      <c r="F902" s="51"/>
    </row>
    <row r="903">
      <c r="A903" s="50"/>
      <c r="B903" s="50"/>
      <c r="C903" s="50"/>
      <c r="D903" s="50"/>
      <c r="E903" s="50"/>
      <c r="F903" s="51"/>
    </row>
    <row r="904">
      <c r="A904" s="50"/>
      <c r="B904" s="50"/>
      <c r="C904" s="50"/>
      <c r="D904" s="50"/>
      <c r="E904" s="50"/>
      <c r="F904" s="51"/>
    </row>
    <row r="905">
      <c r="A905" s="50"/>
      <c r="B905" s="50"/>
      <c r="C905" s="50"/>
      <c r="D905" s="50"/>
      <c r="E905" s="50"/>
      <c r="F905" s="51"/>
    </row>
    <row r="906">
      <c r="A906" s="50"/>
      <c r="B906" s="50"/>
      <c r="C906" s="50"/>
      <c r="D906" s="50"/>
      <c r="E906" s="50"/>
      <c r="F906" s="51"/>
    </row>
    <row r="907">
      <c r="A907" s="50"/>
      <c r="B907" s="50"/>
      <c r="C907" s="50"/>
      <c r="D907" s="50"/>
      <c r="E907" s="50"/>
      <c r="F907" s="51"/>
    </row>
    <row r="908">
      <c r="A908" s="50"/>
      <c r="B908" s="50"/>
      <c r="C908" s="50"/>
      <c r="D908" s="50"/>
      <c r="E908" s="50"/>
      <c r="F908" s="51"/>
    </row>
    <row r="909">
      <c r="A909" s="50"/>
      <c r="B909" s="50"/>
      <c r="C909" s="50"/>
      <c r="D909" s="50"/>
      <c r="E909" s="50"/>
      <c r="F909" s="51"/>
    </row>
    <row r="910">
      <c r="A910" s="50"/>
      <c r="B910" s="50"/>
      <c r="C910" s="50"/>
      <c r="D910" s="50"/>
      <c r="E910" s="50"/>
      <c r="F910" s="51"/>
    </row>
    <row r="911">
      <c r="A911" s="50"/>
      <c r="B911" s="50"/>
      <c r="C911" s="50"/>
      <c r="D911" s="50"/>
      <c r="E911" s="50"/>
      <c r="F911" s="51"/>
    </row>
    <row r="912">
      <c r="A912" s="50"/>
      <c r="B912" s="50"/>
      <c r="C912" s="50"/>
      <c r="D912" s="50"/>
      <c r="E912" s="50"/>
      <c r="F912" s="51"/>
    </row>
    <row r="913">
      <c r="A913" s="50"/>
      <c r="B913" s="50"/>
      <c r="C913" s="50"/>
      <c r="D913" s="50"/>
      <c r="E913" s="50"/>
      <c r="F913" s="51"/>
    </row>
    <row r="914">
      <c r="A914" s="50"/>
      <c r="B914" s="50"/>
      <c r="C914" s="50"/>
      <c r="D914" s="50"/>
      <c r="E914" s="50"/>
      <c r="F914" s="51"/>
    </row>
    <row r="915">
      <c r="A915" s="50"/>
      <c r="B915" s="50"/>
      <c r="C915" s="50"/>
      <c r="D915" s="50"/>
      <c r="E915" s="50"/>
      <c r="F915" s="51"/>
    </row>
    <row r="916">
      <c r="A916" s="50"/>
      <c r="B916" s="50"/>
      <c r="C916" s="50"/>
      <c r="D916" s="50"/>
      <c r="E916" s="50"/>
      <c r="F916" s="51"/>
    </row>
    <row r="917">
      <c r="A917" s="50"/>
      <c r="B917" s="50"/>
      <c r="C917" s="50"/>
      <c r="D917" s="50"/>
      <c r="E917" s="50"/>
      <c r="F917" s="51"/>
    </row>
    <row r="918">
      <c r="A918" s="50"/>
      <c r="B918" s="50"/>
      <c r="C918" s="50"/>
      <c r="D918" s="50"/>
      <c r="E918" s="50"/>
      <c r="F918" s="51"/>
    </row>
    <row r="919">
      <c r="A919" s="50"/>
      <c r="B919" s="50"/>
      <c r="C919" s="50"/>
      <c r="D919" s="50"/>
      <c r="E919" s="50"/>
      <c r="F919" s="51"/>
    </row>
    <row r="920">
      <c r="A920" s="50"/>
      <c r="B920" s="50"/>
      <c r="C920" s="50"/>
      <c r="D920" s="50"/>
      <c r="E920" s="50"/>
      <c r="F920" s="51"/>
    </row>
    <row r="921">
      <c r="A921" s="50"/>
      <c r="B921" s="50"/>
      <c r="C921" s="50"/>
      <c r="D921" s="50"/>
      <c r="E921" s="50"/>
      <c r="F921" s="51"/>
    </row>
    <row r="922">
      <c r="A922" s="50"/>
      <c r="B922" s="50"/>
      <c r="C922" s="50"/>
      <c r="D922" s="50"/>
      <c r="E922" s="50"/>
      <c r="F922" s="51"/>
    </row>
    <row r="923">
      <c r="A923" s="50"/>
      <c r="B923" s="50"/>
      <c r="C923" s="50"/>
      <c r="D923" s="50"/>
      <c r="E923" s="50"/>
      <c r="F923" s="51"/>
    </row>
    <row r="924">
      <c r="A924" s="50"/>
      <c r="B924" s="50"/>
      <c r="C924" s="50"/>
      <c r="D924" s="50"/>
      <c r="E924" s="50"/>
      <c r="F924" s="51"/>
    </row>
    <row r="925">
      <c r="A925" s="50"/>
      <c r="B925" s="50"/>
      <c r="C925" s="50"/>
      <c r="D925" s="50"/>
      <c r="E925" s="50"/>
      <c r="F925" s="51"/>
    </row>
    <row r="926">
      <c r="A926" s="50"/>
      <c r="B926" s="50"/>
      <c r="C926" s="50"/>
      <c r="D926" s="50"/>
      <c r="E926" s="50"/>
      <c r="F926" s="51"/>
    </row>
    <row r="927">
      <c r="A927" s="50"/>
      <c r="B927" s="50"/>
      <c r="C927" s="50"/>
      <c r="D927" s="50"/>
      <c r="E927" s="50"/>
      <c r="F927" s="51"/>
    </row>
    <row r="928">
      <c r="A928" s="50"/>
      <c r="B928" s="50"/>
      <c r="C928" s="50"/>
      <c r="D928" s="50"/>
      <c r="E928" s="50"/>
      <c r="F928" s="51"/>
    </row>
    <row r="929">
      <c r="A929" s="50"/>
      <c r="B929" s="50"/>
      <c r="C929" s="50"/>
      <c r="D929" s="50"/>
      <c r="E929" s="50"/>
      <c r="F929" s="51"/>
    </row>
    <row r="930">
      <c r="A930" s="50"/>
      <c r="B930" s="50"/>
      <c r="C930" s="50"/>
      <c r="D930" s="50"/>
      <c r="E930" s="50"/>
      <c r="F930" s="51"/>
    </row>
    <row r="931">
      <c r="A931" s="50"/>
      <c r="B931" s="50"/>
      <c r="C931" s="50"/>
      <c r="D931" s="50"/>
      <c r="E931" s="50"/>
      <c r="F931" s="51"/>
    </row>
    <row r="932">
      <c r="A932" s="50"/>
      <c r="B932" s="50"/>
      <c r="C932" s="50"/>
      <c r="D932" s="50"/>
      <c r="E932" s="50"/>
      <c r="F932" s="51"/>
    </row>
    <row r="933">
      <c r="A933" s="50"/>
      <c r="B933" s="50"/>
      <c r="C933" s="50"/>
      <c r="D933" s="50"/>
      <c r="E933" s="50"/>
      <c r="F933" s="51"/>
    </row>
    <row r="934">
      <c r="A934" s="50"/>
      <c r="B934" s="50"/>
      <c r="C934" s="50"/>
      <c r="D934" s="50"/>
      <c r="E934" s="50"/>
      <c r="F934" s="51"/>
    </row>
    <row r="935">
      <c r="A935" s="50"/>
      <c r="B935" s="50"/>
      <c r="C935" s="50"/>
      <c r="D935" s="50"/>
      <c r="E935" s="50"/>
      <c r="F935" s="51"/>
    </row>
    <row r="936">
      <c r="A936" s="50"/>
      <c r="B936" s="50"/>
      <c r="C936" s="50"/>
      <c r="D936" s="50"/>
      <c r="E936" s="50"/>
      <c r="F936" s="51"/>
    </row>
    <row r="937">
      <c r="A937" s="50"/>
      <c r="B937" s="50"/>
      <c r="C937" s="50"/>
      <c r="D937" s="50"/>
      <c r="E937" s="50"/>
      <c r="F937" s="51"/>
    </row>
    <row r="938">
      <c r="A938" s="50"/>
      <c r="B938" s="50"/>
      <c r="C938" s="50"/>
      <c r="D938" s="50"/>
      <c r="E938" s="50"/>
      <c r="F938" s="51"/>
    </row>
    <row r="939">
      <c r="A939" s="50"/>
      <c r="B939" s="50"/>
      <c r="C939" s="50"/>
      <c r="D939" s="50"/>
      <c r="E939" s="50"/>
      <c r="F939" s="51"/>
    </row>
    <row r="940">
      <c r="A940" s="50"/>
      <c r="B940" s="50"/>
      <c r="C940" s="50"/>
      <c r="D940" s="50"/>
      <c r="E940" s="50"/>
      <c r="F940" s="51"/>
    </row>
    <row r="941">
      <c r="A941" s="50"/>
      <c r="B941" s="50"/>
      <c r="C941" s="50"/>
      <c r="D941" s="50"/>
      <c r="E941" s="50"/>
      <c r="F941" s="51"/>
    </row>
    <row r="942">
      <c r="A942" s="50"/>
      <c r="B942" s="50"/>
      <c r="C942" s="50"/>
      <c r="D942" s="50"/>
      <c r="E942" s="50"/>
      <c r="F942" s="51"/>
    </row>
    <row r="943">
      <c r="A943" s="50"/>
      <c r="B943" s="50"/>
      <c r="C943" s="50"/>
      <c r="D943" s="50"/>
      <c r="E943" s="50"/>
      <c r="F943" s="51"/>
    </row>
    <row r="944">
      <c r="A944" s="50"/>
      <c r="B944" s="50"/>
      <c r="C944" s="50"/>
      <c r="D944" s="50"/>
      <c r="E944" s="50"/>
      <c r="F944" s="51"/>
    </row>
    <row r="945">
      <c r="A945" s="50"/>
      <c r="B945" s="50"/>
      <c r="C945" s="50"/>
      <c r="D945" s="50"/>
      <c r="E945" s="50"/>
      <c r="F945" s="51"/>
    </row>
    <row r="946">
      <c r="A946" s="50"/>
      <c r="B946" s="50"/>
      <c r="C946" s="50"/>
      <c r="D946" s="50"/>
      <c r="E946" s="50"/>
      <c r="F946" s="51"/>
    </row>
    <row r="947">
      <c r="A947" s="50"/>
      <c r="B947" s="50"/>
      <c r="C947" s="50"/>
      <c r="D947" s="50"/>
      <c r="E947" s="50"/>
      <c r="F947" s="51"/>
    </row>
    <row r="948">
      <c r="A948" s="50"/>
      <c r="B948" s="50"/>
      <c r="C948" s="50"/>
      <c r="D948" s="50"/>
      <c r="E948" s="50"/>
      <c r="F948" s="51"/>
    </row>
    <row r="949">
      <c r="A949" s="50"/>
      <c r="B949" s="50"/>
      <c r="C949" s="50"/>
      <c r="D949" s="50"/>
      <c r="E949" s="50"/>
      <c r="F949" s="51"/>
    </row>
    <row r="950">
      <c r="A950" s="50"/>
      <c r="B950" s="50"/>
      <c r="C950" s="50"/>
      <c r="D950" s="50"/>
      <c r="E950" s="50"/>
      <c r="F950" s="51"/>
    </row>
    <row r="951">
      <c r="A951" s="50"/>
      <c r="B951" s="50"/>
      <c r="C951" s="50"/>
      <c r="D951" s="50"/>
      <c r="E951" s="50"/>
      <c r="F951" s="51"/>
    </row>
    <row r="952">
      <c r="A952" s="50"/>
      <c r="B952" s="50"/>
      <c r="C952" s="50"/>
      <c r="D952" s="50"/>
      <c r="E952" s="50"/>
      <c r="F952" s="51"/>
    </row>
    <row r="953">
      <c r="A953" s="50"/>
      <c r="B953" s="50"/>
      <c r="C953" s="50"/>
      <c r="D953" s="50"/>
      <c r="E953" s="50"/>
      <c r="F953" s="51"/>
    </row>
    <row r="954">
      <c r="A954" s="50"/>
      <c r="B954" s="50"/>
      <c r="C954" s="50"/>
      <c r="D954" s="50"/>
      <c r="E954" s="50"/>
      <c r="F954" s="51"/>
    </row>
    <row r="955">
      <c r="A955" s="50"/>
      <c r="B955" s="50"/>
      <c r="C955" s="50"/>
      <c r="D955" s="50"/>
      <c r="E955" s="50"/>
      <c r="F955" s="51"/>
    </row>
    <row r="956">
      <c r="A956" s="50"/>
      <c r="B956" s="50"/>
      <c r="C956" s="50"/>
      <c r="D956" s="50"/>
      <c r="E956" s="50"/>
      <c r="F956" s="51"/>
    </row>
    <row r="957">
      <c r="A957" s="50"/>
      <c r="B957" s="50"/>
      <c r="C957" s="50"/>
      <c r="D957" s="50"/>
      <c r="E957" s="50"/>
      <c r="F957" s="51"/>
    </row>
    <row r="958">
      <c r="A958" s="50"/>
      <c r="B958" s="50"/>
      <c r="C958" s="50"/>
      <c r="D958" s="50"/>
      <c r="E958" s="50"/>
      <c r="F958" s="51"/>
    </row>
    <row r="959">
      <c r="A959" s="50"/>
      <c r="B959" s="50"/>
      <c r="C959" s="50"/>
      <c r="D959" s="50"/>
      <c r="E959" s="50"/>
      <c r="F959" s="51"/>
    </row>
    <row r="960">
      <c r="A960" s="50"/>
      <c r="B960" s="50"/>
      <c r="C960" s="50"/>
      <c r="D960" s="50"/>
      <c r="E960" s="50"/>
      <c r="F960" s="51"/>
    </row>
    <row r="961">
      <c r="A961" s="50"/>
      <c r="B961" s="50"/>
      <c r="C961" s="50"/>
      <c r="D961" s="50"/>
      <c r="E961" s="50"/>
      <c r="F961" s="51"/>
    </row>
    <row r="962">
      <c r="A962" s="50"/>
      <c r="B962" s="50"/>
      <c r="C962" s="50"/>
      <c r="D962" s="50"/>
      <c r="E962" s="50"/>
      <c r="F962" s="51"/>
    </row>
    <row r="963">
      <c r="A963" s="50"/>
      <c r="B963" s="50"/>
      <c r="C963" s="50"/>
      <c r="D963" s="50"/>
      <c r="E963" s="50"/>
      <c r="F963" s="51"/>
    </row>
    <row r="964">
      <c r="A964" s="50"/>
      <c r="B964" s="50"/>
      <c r="C964" s="50"/>
      <c r="D964" s="50"/>
      <c r="E964" s="50"/>
      <c r="F964" s="51"/>
    </row>
    <row r="965">
      <c r="A965" s="50"/>
      <c r="B965" s="50"/>
      <c r="C965" s="50"/>
      <c r="D965" s="50"/>
      <c r="E965" s="50"/>
      <c r="F965" s="51"/>
    </row>
    <row r="966">
      <c r="A966" s="50"/>
      <c r="B966" s="50"/>
      <c r="C966" s="50"/>
      <c r="D966" s="50"/>
      <c r="E966" s="50"/>
      <c r="F966" s="51"/>
    </row>
    <row r="967">
      <c r="A967" s="50"/>
      <c r="B967" s="50"/>
      <c r="C967" s="50"/>
      <c r="D967" s="50"/>
      <c r="E967" s="50"/>
      <c r="F967" s="51"/>
    </row>
    <row r="968">
      <c r="A968" s="50"/>
      <c r="B968" s="50"/>
      <c r="C968" s="50"/>
      <c r="D968" s="50"/>
      <c r="E968" s="50"/>
      <c r="F968" s="51"/>
    </row>
    <row r="969">
      <c r="A969" s="50"/>
      <c r="B969" s="50"/>
      <c r="C969" s="50"/>
      <c r="D969" s="50"/>
      <c r="E969" s="50"/>
      <c r="F969" s="51"/>
    </row>
    <row r="970">
      <c r="A970" s="50"/>
      <c r="B970" s="50"/>
      <c r="C970" s="50"/>
      <c r="D970" s="50"/>
      <c r="E970" s="50"/>
      <c r="F970" s="51"/>
    </row>
    <row r="971">
      <c r="A971" s="50"/>
      <c r="B971" s="50"/>
      <c r="C971" s="50"/>
      <c r="D971" s="50"/>
      <c r="E971" s="50"/>
      <c r="F971" s="51"/>
    </row>
    <row r="972">
      <c r="A972" s="50"/>
      <c r="B972" s="50"/>
      <c r="C972" s="50"/>
      <c r="D972" s="50"/>
      <c r="E972" s="50"/>
      <c r="F972" s="51"/>
    </row>
    <row r="973">
      <c r="A973" s="50"/>
      <c r="B973" s="50"/>
      <c r="C973" s="50"/>
      <c r="D973" s="50"/>
      <c r="E973" s="50"/>
      <c r="F973" s="51"/>
    </row>
    <row r="974">
      <c r="A974" s="50"/>
      <c r="B974" s="50"/>
      <c r="C974" s="50"/>
      <c r="D974" s="50"/>
      <c r="E974" s="50"/>
      <c r="F974" s="51"/>
    </row>
    <row r="975">
      <c r="A975" s="50"/>
      <c r="B975" s="50"/>
      <c r="C975" s="50"/>
      <c r="D975" s="50"/>
      <c r="E975" s="50"/>
      <c r="F975" s="51"/>
    </row>
    <row r="976">
      <c r="A976" s="50"/>
      <c r="B976" s="50"/>
      <c r="C976" s="50"/>
      <c r="D976" s="50"/>
      <c r="E976" s="50"/>
      <c r="F976" s="51"/>
    </row>
    <row r="977">
      <c r="A977" s="50"/>
      <c r="B977" s="50"/>
      <c r="C977" s="50"/>
      <c r="D977" s="50"/>
      <c r="E977" s="50"/>
      <c r="F977" s="51"/>
    </row>
    <row r="978">
      <c r="A978" s="50"/>
      <c r="B978" s="50"/>
      <c r="C978" s="50"/>
      <c r="D978" s="50"/>
      <c r="E978" s="50"/>
      <c r="F978" s="51"/>
    </row>
    <row r="979">
      <c r="A979" s="50"/>
      <c r="B979" s="50"/>
      <c r="C979" s="50"/>
      <c r="D979" s="50"/>
      <c r="E979" s="50"/>
      <c r="F979" s="51"/>
    </row>
    <row r="980">
      <c r="A980" s="50"/>
      <c r="B980" s="50"/>
      <c r="C980" s="50"/>
      <c r="D980" s="50"/>
      <c r="E980" s="50"/>
      <c r="F980" s="51"/>
    </row>
    <row r="981">
      <c r="A981" s="50"/>
      <c r="B981" s="50"/>
      <c r="C981" s="50"/>
      <c r="D981" s="50"/>
      <c r="E981" s="50"/>
      <c r="F981" s="51"/>
    </row>
    <row r="982">
      <c r="A982" s="50"/>
      <c r="B982" s="50"/>
      <c r="C982" s="50"/>
      <c r="D982" s="50"/>
      <c r="E982" s="50"/>
      <c r="F982" s="51"/>
    </row>
    <row r="983">
      <c r="A983" s="50"/>
      <c r="B983" s="50"/>
      <c r="C983" s="50"/>
      <c r="D983" s="50"/>
      <c r="E983" s="50"/>
      <c r="F983" s="51"/>
    </row>
    <row r="984">
      <c r="A984" s="50"/>
      <c r="B984" s="50"/>
      <c r="C984" s="50"/>
      <c r="D984" s="50"/>
      <c r="E984" s="50"/>
      <c r="F984" s="51"/>
    </row>
    <row r="985">
      <c r="A985" s="50"/>
      <c r="B985" s="50"/>
      <c r="C985" s="50"/>
      <c r="D985" s="50"/>
      <c r="E985" s="50"/>
      <c r="F985" s="51"/>
    </row>
    <row r="986">
      <c r="A986" s="50"/>
      <c r="B986" s="50"/>
      <c r="C986" s="50"/>
      <c r="D986" s="50"/>
      <c r="E986" s="50"/>
      <c r="F986" s="51"/>
    </row>
    <row r="987">
      <c r="A987" s="50"/>
      <c r="B987" s="50"/>
      <c r="C987" s="50"/>
      <c r="D987" s="50"/>
      <c r="E987" s="50"/>
      <c r="F987" s="51"/>
    </row>
    <row r="988">
      <c r="A988" s="50"/>
      <c r="B988" s="50"/>
      <c r="C988" s="50"/>
      <c r="D988" s="50"/>
      <c r="E988" s="50"/>
      <c r="F988" s="51"/>
    </row>
    <row r="989">
      <c r="A989" s="50"/>
      <c r="B989" s="50"/>
      <c r="C989" s="50"/>
      <c r="D989" s="50"/>
      <c r="E989" s="50"/>
      <c r="F989" s="51"/>
    </row>
    <row r="990">
      <c r="A990" s="50"/>
      <c r="B990" s="50"/>
      <c r="C990" s="50"/>
      <c r="D990" s="50"/>
      <c r="E990" s="50"/>
      <c r="F990" s="51"/>
    </row>
    <row r="991">
      <c r="A991" s="50"/>
      <c r="B991" s="50"/>
      <c r="C991" s="50"/>
      <c r="D991" s="50"/>
      <c r="E991" s="50"/>
      <c r="F991" s="51"/>
    </row>
    <row r="992">
      <c r="A992" s="50"/>
      <c r="B992" s="50"/>
      <c r="C992" s="50"/>
      <c r="D992" s="50"/>
      <c r="E992" s="50"/>
      <c r="F992" s="51"/>
    </row>
    <row r="993">
      <c r="A993" s="50"/>
      <c r="B993" s="50"/>
      <c r="C993" s="50"/>
      <c r="D993" s="50"/>
      <c r="E993" s="50"/>
      <c r="F993" s="51"/>
    </row>
    <row r="994">
      <c r="A994" s="50"/>
      <c r="B994" s="50"/>
      <c r="C994" s="50"/>
      <c r="D994" s="50"/>
      <c r="E994" s="50"/>
      <c r="F994" s="51"/>
    </row>
    <row r="995">
      <c r="A995" s="50"/>
      <c r="B995" s="50"/>
      <c r="C995" s="50"/>
      <c r="D995" s="50"/>
      <c r="E995" s="50"/>
      <c r="F995" s="51"/>
    </row>
    <row r="996">
      <c r="A996" s="50"/>
      <c r="B996" s="50"/>
      <c r="C996" s="50"/>
      <c r="D996" s="50"/>
      <c r="E996" s="50"/>
      <c r="F996" s="51"/>
    </row>
    <row r="997">
      <c r="A997" s="50"/>
      <c r="B997" s="50"/>
      <c r="C997" s="50"/>
      <c r="D997" s="50"/>
      <c r="E997" s="50"/>
      <c r="F997" s="51"/>
    </row>
    <row r="998">
      <c r="A998" s="50"/>
      <c r="B998" s="50"/>
      <c r="C998" s="50"/>
      <c r="D998" s="50"/>
      <c r="E998" s="50"/>
      <c r="F998" s="51"/>
    </row>
    <row r="999">
      <c r="A999" s="50"/>
      <c r="B999" s="50"/>
      <c r="C999" s="50"/>
      <c r="D999" s="50"/>
      <c r="E999" s="50"/>
      <c r="F999" s="51"/>
    </row>
    <row r="1000">
      <c r="A1000" s="50"/>
      <c r="B1000" s="50"/>
      <c r="C1000" s="50"/>
      <c r="D1000" s="50"/>
      <c r="E1000" s="50"/>
      <c r="F1000" s="51"/>
    </row>
  </sheetData>
  <autoFilter ref="$A$1:$F$1000"/>
  <mergeCells count="58">
    <mergeCell ref="B80:B81"/>
    <mergeCell ref="B85:B86"/>
    <mergeCell ref="B55:B56"/>
    <mergeCell ref="B61:B62"/>
    <mergeCell ref="B63:B64"/>
    <mergeCell ref="B65:B66"/>
    <mergeCell ref="B74:B75"/>
    <mergeCell ref="B76:B77"/>
    <mergeCell ref="B78:B79"/>
    <mergeCell ref="A2:A4"/>
    <mergeCell ref="B2:B4"/>
    <mergeCell ref="A5:A7"/>
    <mergeCell ref="B5:B7"/>
    <mergeCell ref="A8:A10"/>
    <mergeCell ref="B8:B10"/>
    <mergeCell ref="B11:B12"/>
    <mergeCell ref="A11:A12"/>
    <mergeCell ref="A13:A14"/>
    <mergeCell ref="A15:A16"/>
    <mergeCell ref="A23:A25"/>
    <mergeCell ref="A26:A28"/>
    <mergeCell ref="A29:A31"/>
    <mergeCell ref="A32:A33"/>
    <mergeCell ref="B13:B14"/>
    <mergeCell ref="B15:B16"/>
    <mergeCell ref="B23:B25"/>
    <mergeCell ref="B26:B28"/>
    <mergeCell ref="B29:B31"/>
    <mergeCell ref="B32:B33"/>
    <mergeCell ref="B34:B35"/>
    <mergeCell ref="A34:A35"/>
    <mergeCell ref="A36:A37"/>
    <mergeCell ref="A38:A39"/>
    <mergeCell ref="A45:A46"/>
    <mergeCell ref="A47:A48"/>
    <mergeCell ref="A49:A50"/>
    <mergeCell ref="A51:A52"/>
    <mergeCell ref="B36:B37"/>
    <mergeCell ref="B38:B39"/>
    <mergeCell ref="B45:B46"/>
    <mergeCell ref="B47:B48"/>
    <mergeCell ref="B49:B50"/>
    <mergeCell ref="B51:B52"/>
    <mergeCell ref="B53:B54"/>
    <mergeCell ref="A78:A79"/>
    <mergeCell ref="A80:A81"/>
    <mergeCell ref="A85:A86"/>
    <mergeCell ref="A87:A88"/>
    <mergeCell ref="B87:B88"/>
    <mergeCell ref="A89:A90"/>
    <mergeCell ref="B89:B90"/>
    <mergeCell ref="A53:A54"/>
    <mergeCell ref="A55:A56"/>
    <mergeCell ref="A61:A62"/>
    <mergeCell ref="A63:A64"/>
    <mergeCell ref="A65:A66"/>
    <mergeCell ref="A74:A75"/>
    <mergeCell ref="A76:A7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7.38"/>
    <col customWidth="1" min="2" max="2" width="14.5"/>
    <col customWidth="1" min="3" max="3" width="19.25"/>
    <col customWidth="1" min="4" max="4" width="14.5"/>
    <col customWidth="1" min="5" max="5" width="16.88"/>
  </cols>
  <sheetData>
    <row r="1" ht="22.5" customHeight="1">
      <c r="A1" s="21" t="s">
        <v>60</v>
      </c>
      <c r="B1" s="21" t="s">
        <v>82</v>
      </c>
      <c r="C1" s="23" t="s">
        <v>90</v>
      </c>
      <c r="D1" s="24" t="s">
        <v>98</v>
      </c>
      <c r="E1" s="24" t="s">
        <v>106</v>
      </c>
    </row>
    <row r="2" ht="22.5" customHeight="1">
      <c r="A2" s="29" t="s">
        <v>33</v>
      </c>
      <c r="B2" s="34">
        <f>COUNTIF('Tabla de problemas e instrument'!A2:A101,A2)</f>
        <v>12</v>
      </c>
      <c r="C2" s="36">
        <f t="shared" ref="C2:C7" si="1">B2/SUM($B$2:$B$7)</f>
        <v>0.2068965517</v>
      </c>
      <c r="D2" s="37">
        <f>SUMPRODUCT(--(LOOKUP(ROW('Tabla de problemas e instrument'!$A$2:$A$94),ROW('Tabla de problemas e instrument'!$A$2:$A$94)/('Tabla de problemas e instrument'!$A$2:$A$94&lt;&gt;""),'Tabla de problemas e instrument'!$A$2:$A$94)=A2),--('Tabla de problemas e instrument'!$D$2:$D$94&lt;&gt;""))</f>
        <v>21</v>
      </c>
      <c r="E2" s="38">
        <f t="shared" ref="E2:E7" si="2">D2/B2</f>
        <v>1.75</v>
      </c>
    </row>
    <row r="3" ht="22.5" customHeight="1">
      <c r="A3" s="29" t="s">
        <v>179</v>
      </c>
      <c r="B3" s="34">
        <f>COUNTIF('Tabla de problemas e instrument'!A4:A103,A3)</f>
        <v>12</v>
      </c>
      <c r="C3" s="36">
        <f t="shared" si="1"/>
        <v>0.2068965517</v>
      </c>
      <c r="D3" s="37">
        <f>SUMPRODUCT(--(LOOKUP(ROW('Tabla de problemas e instrument'!$A$2:$A$94),ROW('Tabla de problemas e instrument'!$A$2:$A$94)/('Tabla de problemas e instrument'!$A$2:$A$94&lt;&gt;""),'Tabla de problemas e instrument'!$A$2:$A$94)=A3),--('Tabla de problemas e instrument'!$D$2:$D$94&lt;&gt;""))</f>
        <v>22</v>
      </c>
      <c r="E3" s="38">
        <f t="shared" si="2"/>
        <v>1.833333333</v>
      </c>
    </row>
    <row r="4" ht="22.5" customHeight="1">
      <c r="A4" s="29" t="s">
        <v>149</v>
      </c>
      <c r="B4" s="34">
        <f>COUNTIF('Tabla de problemas e instrument'!A5:A104,A4)</f>
        <v>10</v>
      </c>
      <c r="C4" s="36">
        <f t="shared" si="1"/>
        <v>0.1724137931</v>
      </c>
      <c r="D4" s="37">
        <f>SUMPRODUCT(--(LOOKUP(ROW('Tabla de problemas e instrument'!$A$2:$A$94),ROW('Tabla de problemas e instrument'!$A$2:$A$94)/('Tabla de problemas e instrument'!$A$2:$A$94&lt;&gt;""),'Tabla de problemas e instrument'!$A$2:$A$94)=A4),--('Tabla de problemas e instrument'!$D$2:$D$94&lt;&gt;""))</f>
        <v>16</v>
      </c>
      <c r="E4" s="38">
        <f t="shared" si="2"/>
        <v>1.6</v>
      </c>
    </row>
    <row r="5" ht="22.5" customHeight="1">
      <c r="A5" s="29" t="s">
        <v>120</v>
      </c>
      <c r="B5" s="34">
        <f>COUNTIF('Tabla de problemas e instrument'!A7:A106,A5)</f>
        <v>10</v>
      </c>
      <c r="C5" s="36">
        <f t="shared" si="1"/>
        <v>0.1724137931</v>
      </c>
      <c r="D5" s="37">
        <f>SUMPRODUCT(--(LOOKUP(ROW('Tabla de problemas e instrument'!$A$2:$A$94),ROW('Tabla de problemas e instrument'!$A$2:$A$94)/('Tabla de problemas e instrument'!$A$2:$A$94&lt;&gt;""),'Tabla de problemas e instrument'!$A$2:$A$94)=A5),--('Tabla de problemas e instrument'!$D$2:$D$94&lt;&gt;""))</f>
        <v>13</v>
      </c>
      <c r="E5" s="38">
        <f t="shared" si="2"/>
        <v>1.3</v>
      </c>
    </row>
    <row r="6" ht="22.5" customHeight="1">
      <c r="A6" s="29" t="s">
        <v>178</v>
      </c>
      <c r="B6" s="34">
        <f>COUNTIF('Tabla de problemas e instrument'!A3:A102,A6)</f>
        <v>7</v>
      </c>
      <c r="C6" s="36">
        <f t="shared" si="1"/>
        <v>0.1206896552</v>
      </c>
      <c r="D6" s="37">
        <f>SUMPRODUCT(--(LOOKUP(ROW('Tabla de problemas e instrument'!$A$2:$A$94),ROW('Tabla de problemas e instrument'!$A$2:$A$94)/('Tabla de problemas e instrument'!$A$2:$A$94&lt;&gt;""),'Tabla de problemas e instrument'!$A$2:$A$94)=A6),--('Tabla de problemas e instrument'!$D$2:$D$94&lt;&gt;""))</f>
        <v>11</v>
      </c>
      <c r="E6" s="38">
        <f t="shared" si="2"/>
        <v>1.571428571</v>
      </c>
    </row>
    <row r="7" ht="22.5" customHeight="1">
      <c r="A7" s="29" t="s">
        <v>232</v>
      </c>
      <c r="B7" s="34">
        <f>COUNTIF('Tabla de problemas e instrument'!A6:A105,A7)</f>
        <v>7</v>
      </c>
      <c r="C7" s="36">
        <f t="shared" si="1"/>
        <v>0.1206896552</v>
      </c>
      <c r="D7" s="37">
        <f>SUMPRODUCT(--(LOOKUP(ROW('Tabla de problemas e instrument'!$A$2:$A$94),ROW('Tabla de problemas e instrument'!$A$2:$A$94)/('Tabla de problemas e instrument'!$A$2:$A$94&lt;&gt;""),'Tabla de problemas e instrument'!$A$2:$A$94)=A7),--('Tabla de problemas e instrument'!$D$2:$D$94&lt;&gt;""))</f>
        <v>10</v>
      </c>
      <c r="E7" s="38">
        <f t="shared" si="2"/>
        <v>1.428571429</v>
      </c>
    </row>
    <row r="8">
      <c r="A8" s="39"/>
      <c r="B8" s="40"/>
      <c r="C8" s="40"/>
      <c r="D8" s="41"/>
      <c r="E8" s="41"/>
    </row>
    <row r="9">
      <c r="A9" s="39"/>
      <c r="B9" s="40"/>
      <c r="C9" s="40"/>
      <c r="D9" s="41"/>
      <c r="E9" s="41"/>
    </row>
    <row r="10">
      <c r="A10" s="39"/>
      <c r="B10" s="39"/>
      <c r="C10" s="39"/>
      <c r="D10" s="41"/>
      <c r="E10" s="41"/>
    </row>
    <row r="11">
      <c r="A11" s="39"/>
      <c r="B11" s="39"/>
      <c r="C11" s="39"/>
    </row>
    <row r="12">
      <c r="A12" s="39"/>
      <c r="B12" s="39"/>
      <c r="C12" s="39"/>
    </row>
    <row r="13">
      <c r="A13" s="39"/>
      <c r="B13" s="39"/>
      <c r="C13" s="39"/>
    </row>
    <row r="14">
      <c r="A14" s="39"/>
      <c r="B14" s="39"/>
      <c r="C14" s="39"/>
    </row>
    <row r="15">
      <c r="A15" s="39"/>
      <c r="B15" s="39"/>
      <c r="C15" s="39"/>
    </row>
    <row r="16">
      <c r="A16" s="39"/>
      <c r="B16" s="39"/>
      <c r="C16" s="39"/>
    </row>
    <row r="17">
      <c r="A17" s="39"/>
      <c r="B17" s="39"/>
      <c r="C17" s="39"/>
    </row>
    <row r="18">
      <c r="A18" s="39"/>
      <c r="B18" s="39"/>
      <c r="C18" s="39"/>
    </row>
    <row r="19">
      <c r="A19" s="39"/>
      <c r="B19" s="39"/>
      <c r="C19" s="39"/>
    </row>
    <row r="20">
      <c r="A20" s="39"/>
      <c r="B20" s="39"/>
      <c r="C20" s="39"/>
    </row>
    <row r="21">
      <c r="A21" s="39"/>
      <c r="B21" s="39"/>
      <c r="C21" s="39"/>
    </row>
    <row r="22">
      <c r="A22" s="39"/>
      <c r="B22" s="42"/>
      <c r="C22" s="42"/>
    </row>
    <row r="23">
      <c r="A23" s="43"/>
      <c r="B23" s="42"/>
      <c r="C23" s="42"/>
    </row>
    <row r="24">
      <c r="B24" s="42"/>
      <c r="C24" s="42"/>
    </row>
    <row r="25">
      <c r="B25" s="42"/>
      <c r="C25" s="42"/>
    </row>
    <row r="26">
      <c r="A26" s="39"/>
      <c r="B26" s="42"/>
      <c r="C26" s="42"/>
    </row>
    <row r="27">
      <c r="B27" s="42"/>
      <c r="C27" s="42"/>
    </row>
    <row r="28">
      <c r="B28" s="42"/>
      <c r="C28" s="42"/>
    </row>
    <row r="29">
      <c r="A29" s="43"/>
      <c r="B29" s="42"/>
      <c r="C29" s="42"/>
    </row>
    <row r="30">
      <c r="B30" s="42"/>
      <c r="C30" s="42"/>
    </row>
    <row r="31">
      <c r="B31" s="42"/>
      <c r="C31" s="42"/>
    </row>
    <row r="32">
      <c r="A32" s="39"/>
      <c r="B32" s="42"/>
      <c r="C32" s="42"/>
    </row>
    <row r="33">
      <c r="B33" s="42"/>
      <c r="C33" s="42"/>
    </row>
    <row r="34">
      <c r="A34" s="39"/>
      <c r="B34" s="42"/>
      <c r="C34" s="42"/>
    </row>
    <row r="35">
      <c r="B35" s="42"/>
      <c r="C35" s="42"/>
    </row>
    <row r="36">
      <c r="A36" s="39"/>
      <c r="B36" s="42"/>
      <c r="C36" s="42"/>
    </row>
    <row r="37">
      <c r="B37" s="42"/>
      <c r="C37" s="42"/>
    </row>
    <row r="38">
      <c r="A38" s="39"/>
      <c r="B38" s="42"/>
      <c r="C38" s="42"/>
    </row>
    <row r="39">
      <c r="B39" s="42"/>
      <c r="C39" s="42"/>
    </row>
    <row r="40">
      <c r="A40" s="39"/>
      <c r="B40" s="42"/>
      <c r="C40" s="42"/>
    </row>
    <row r="41">
      <c r="A41" s="43"/>
      <c r="B41" s="42"/>
      <c r="C41" s="42"/>
    </row>
    <row r="42">
      <c r="A42" s="39"/>
      <c r="B42" s="42"/>
      <c r="C42" s="42"/>
    </row>
    <row r="43">
      <c r="A43" s="43"/>
      <c r="B43" s="42"/>
      <c r="C43" s="42"/>
    </row>
    <row r="44">
      <c r="A44" s="39"/>
      <c r="B44" s="42"/>
      <c r="C44" s="42"/>
    </row>
    <row r="45">
      <c r="A45" s="43"/>
      <c r="B45" s="42"/>
      <c r="C45" s="42"/>
    </row>
    <row r="46">
      <c r="B46" s="42"/>
      <c r="C46" s="42"/>
    </row>
    <row r="47">
      <c r="A47" s="43"/>
      <c r="B47" s="42"/>
      <c r="C47" s="42"/>
    </row>
    <row r="48">
      <c r="B48" s="42"/>
      <c r="C48" s="42"/>
    </row>
    <row r="49">
      <c r="A49" s="43"/>
      <c r="B49" s="42"/>
      <c r="C49" s="42"/>
    </row>
    <row r="50">
      <c r="B50" s="42"/>
      <c r="C50" s="42"/>
    </row>
    <row r="51">
      <c r="A51" s="43"/>
      <c r="B51" s="42"/>
      <c r="C51" s="42"/>
    </row>
    <row r="52">
      <c r="B52" s="42"/>
      <c r="C52" s="42"/>
    </row>
    <row r="53">
      <c r="A53" s="43"/>
      <c r="B53" s="42"/>
      <c r="C53" s="42"/>
    </row>
    <row r="54">
      <c r="B54" s="42"/>
      <c r="C54" s="42"/>
    </row>
    <row r="55">
      <c r="A55" s="43"/>
      <c r="B55" s="42"/>
      <c r="C55" s="42"/>
    </row>
    <row r="56">
      <c r="B56" s="42"/>
      <c r="C56" s="42"/>
    </row>
    <row r="57">
      <c r="A57" s="43"/>
      <c r="B57" s="42"/>
      <c r="C57" s="42"/>
    </row>
    <row r="58">
      <c r="A58" s="39"/>
      <c r="B58" s="42"/>
      <c r="C58" s="42"/>
    </row>
    <row r="59">
      <c r="A59" s="43"/>
      <c r="B59" s="42"/>
      <c r="C59" s="42"/>
    </row>
    <row r="60">
      <c r="A60" s="39"/>
      <c r="B60" s="42"/>
      <c r="C60" s="42"/>
    </row>
    <row r="61">
      <c r="A61" s="43"/>
      <c r="B61" s="42"/>
      <c r="C61" s="42"/>
    </row>
    <row r="62">
      <c r="B62" s="42"/>
      <c r="C62" s="42"/>
    </row>
    <row r="63">
      <c r="A63" s="43"/>
      <c r="B63" s="42"/>
      <c r="C63" s="42"/>
    </row>
    <row r="64">
      <c r="B64" s="42"/>
      <c r="C64" s="42"/>
    </row>
    <row r="65">
      <c r="A65" s="43"/>
      <c r="B65" s="42"/>
      <c r="C65" s="42"/>
    </row>
    <row r="66">
      <c r="B66" s="42"/>
      <c r="C66" s="42"/>
    </row>
    <row r="67">
      <c r="A67" s="39"/>
      <c r="B67" s="42"/>
      <c r="C67" s="42"/>
    </row>
    <row r="68">
      <c r="A68" s="39"/>
      <c r="B68" s="42"/>
      <c r="C68" s="42"/>
    </row>
    <row r="69">
      <c r="A69" s="39"/>
      <c r="B69" s="42"/>
      <c r="C69" s="42"/>
    </row>
    <row r="70">
      <c r="A70" s="39"/>
      <c r="B70" s="42"/>
      <c r="C70" s="42"/>
    </row>
    <row r="71">
      <c r="A71" s="39"/>
      <c r="B71" s="42"/>
      <c r="C71" s="42"/>
    </row>
    <row r="72">
      <c r="A72" s="39"/>
      <c r="B72" s="42"/>
      <c r="C72" s="42"/>
    </row>
    <row r="73">
      <c r="A73" s="39"/>
      <c r="B73" s="42"/>
      <c r="C73" s="42"/>
    </row>
    <row r="74">
      <c r="A74" s="39"/>
      <c r="B74" s="42"/>
      <c r="C74" s="42"/>
    </row>
    <row r="75">
      <c r="B75" s="42"/>
      <c r="C75" s="42"/>
    </row>
    <row r="76">
      <c r="A76" s="39"/>
      <c r="B76" s="42"/>
      <c r="C76" s="42"/>
    </row>
    <row r="77">
      <c r="B77" s="42"/>
      <c r="C77" s="42"/>
    </row>
    <row r="78">
      <c r="A78" s="39"/>
      <c r="B78" s="42"/>
      <c r="C78" s="42"/>
    </row>
    <row r="79">
      <c r="B79" s="42"/>
      <c r="C79" s="42"/>
    </row>
    <row r="80">
      <c r="A80" s="39"/>
      <c r="B80" s="42"/>
      <c r="C80" s="42"/>
    </row>
    <row r="81">
      <c r="B81" s="42"/>
      <c r="C81" s="42"/>
    </row>
    <row r="82">
      <c r="A82" s="39"/>
      <c r="B82" s="42"/>
      <c r="C82" s="42"/>
    </row>
    <row r="83">
      <c r="A83" s="39"/>
      <c r="B83" s="42"/>
      <c r="C83" s="42"/>
    </row>
    <row r="84">
      <c r="A84" s="39"/>
      <c r="B84" s="42"/>
      <c r="C84" s="42"/>
    </row>
    <row r="85">
      <c r="A85" s="39"/>
      <c r="B85" s="42"/>
      <c r="C85" s="42"/>
    </row>
    <row r="86">
      <c r="B86" s="42"/>
      <c r="C86" s="42"/>
    </row>
    <row r="87">
      <c r="A87" s="39"/>
      <c r="B87" s="42"/>
      <c r="C87" s="42"/>
    </row>
    <row r="88">
      <c r="B88" s="42"/>
      <c r="C88" s="42"/>
    </row>
    <row r="89">
      <c r="A89" s="39"/>
      <c r="B89" s="42"/>
      <c r="C89" s="42"/>
    </row>
    <row r="90">
      <c r="B90" s="42"/>
      <c r="C90" s="42"/>
    </row>
    <row r="91">
      <c r="A91" s="39"/>
      <c r="B91" s="42"/>
      <c r="C91" s="42"/>
    </row>
    <row r="92">
      <c r="A92" s="39"/>
      <c r="B92" s="42"/>
      <c r="C92" s="42"/>
    </row>
    <row r="93">
      <c r="A93" s="39"/>
      <c r="B93" s="42"/>
      <c r="C93" s="42"/>
    </row>
    <row r="94">
      <c r="A94" s="39"/>
      <c r="B94" s="42"/>
      <c r="C94" s="42"/>
    </row>
    <row r="95">
      <c r="A95" s="47"/>
      <c r="B95" s="42"/>
      <c r="C95" s="42"/>
    </row>
    <row r="96">
      <c r="A96" s="47"/>
      <c r="B96" s="42"/>
      <c r="C96" s="42"/>
    </row>
    <row r="97">
      <c r="A97" s="47"/>
      <c r="B97" s="42"/>
      <c r="C97" s="42"/>
    </row>
    <row r="98">
      <c r="A98" s="47"/>
      <c r="B98" s="42"/>
      <c r="C98" s="42"/>
    </row>
    <row r="99">
      <c r="A99" s="47"/>
      <c r="B99" s="42"/>
      <c r="C99" s="42"/>
    </row>
    <row r="100">
      <c r="A100" s="47"/>
      <c r="B100" s="42"/>
      <c r="C100" s="42"/>
    </row>
    <row r="101">
      <c r="A101" s="47"/>
      <c r="B101" s="42"/>
      <c r="C101" s="42"/>
    </row>
    <row r="102">
      <c r="A102" s="47"/>
      <c r="B102" s="42"/>
      <c r="C102" s="42"/>
    </row>
    <row r="103">
      <c r="A103" s="47"/>
      <c r="B103" s="42"/>
      <c r="C103" s="42"/>
    </row>
    <row r="104">
      <c r="A104" s="47"/>
      <c r="B104" s="42"/>
      <c r="C104" s="42"/>
    </row>
    <row r="105">
      <c r="A105" s="47"/>
      <c r="B105" s="42"/>
      <c r="C105" s="42"/>
    </row>
    <row r="106">
      <c r="A106" s="47"/>
      <c r="B106" s="42"/>
      <c r="C106" s="42"/>
    </row>
    <row r="107">
      <c r="A107" s="47"/>
      <c r="B107" s="42"/>
      <c r="C107" s="42"/>
    </row>
    <row r="108">
      <c r="A108" s="42"/>
      <c r="B108" s="42"/>
      <c r="C108" s="42"/>
    </row>
    <row r="109">
      <c r="A109" s="42"/>
      <c r="B109" s="42"/>
      <c r="C109" s="42"/>
    </row>
    <row r="110">
      <c r="A110" s="42"/>
      <c r="B110" s="42"/>
      <c r="C110" s="42"/>
    </row>
    <row r="111">
      <c r="A111" s="42"/>
      <c r="B111" s="42"/>
      <c r="C111" s="42"/>
    </row>
    <row r="112">
      <c r="A112" s="42"/>
      <c r="B112" s="42"/>
      <c r="C112" s="42"/>
    </row>
    <row r="113">
      <c r="A113" s="42"/>
      <c r="B113" s="42"/>
      <c r="C113" s="42"/>
    </row>
    <row r="114">
      <c r="A114" s="42"/>
      <c r="B114" s="42"/>
      <c r="C114" s="42"/>
    </row>
    <row r="115">
      <c r="A115" s="42"/>
      <c r="B115" s="42"/>
      <c r="C115" s="42"/>
    </row>
    <row r="116">
      <c r="A116" s="42"/>
      <c r="B116" s="42"/>
      <c r="C116" s="42"/>
    </row>
    <row r="117">
      <c r="A117" s="42"/>
      <c r="B117" s="42"/>
      <c r="C117" s="42"/>
    </row>
    <row r="118">
      <c r="A118" s="42"/>
      <c r="B118" s="42"/>
      <c r="C118" s="42"/>
    </row>
    <row r="119">
      <c r="A119" s="42"/>
      <c r="B119" s="42"/>
      <c r="C119" s="42"/>
    </row>
    <row r="120">
      <c r="A120" s="42"/>
      <c r="B120" s="42"/>
      <c r="C120" s="42"/>
    </row>
    <row r="121">
      <c r="A121" s="42"/>
      <c r="B121" s="42"/>
      <c r="C121" s="42"/>
    </row>
    <row r="122">
      <c r="A122" s="42"/>
      <c r="B122" s="42"/>
      <c r="C122" s="42"/>
    </row>
    <row r="123">
      <c r="A123" s="42"/>
      <c r="B123" s="42"/>
      <c r="C123" s="42"/>
    </row>
    <row r="124">
      <c r="A124" s="42"/>
      <c r="B124" s="42"/>
      <c r="C124" s="42"/>
    </row>
    <row r="125">
      <c r="A125" s="42"/>
      <c r="B125" s="42"/>
      <c r="C125" s="42"/>
    </row>
    <row r="126">
      <c r="A126" s="42"/>
      <c r="B126" s="42"/>
      <c r="C126" s="42"/>
    </row>
    <row r="127">
      <c r="A127" s="42"/>
      <c r="B127" s="42"/>
      <c r="C127" s="42"/>
    </row>
    <row r="128">
      <c r="A128" s="42"/>
      <c r="B128" s="42"/>
      <c r="C128" s="42"/>
    </row>
    <row r="129">
      <c r="A129" s="42"/>
      <c r="B129" s="42"/>
      <c r="C129" s="42"/>
    </row>
    <row r="130">
      <c r="A130" s="42"/>
      <c r="B130" s="42"/>
      <c r="C130" s="42"/>
    </row>
    <row r="131">
      <c r="A131" s="42"/>
      <c r="B131" s="42"/>
      <c r="C131" s="42"/>
    </row>
    <row r="132">
      <c r="A132" s="42"/>
      <c r="B132" s="42"/>
      <c r="C132" s="42"/>
    </row>
    <row r="133">
      <c r="A133" s="42"/>
      <c r="B133" s="42"/>
      <c r="C133" s="42"/>
    </row>
    <row r="134">
      <c r="A134" s="42"/>
      <c r="B134" s="42"/>
      <c r="C134" s="42"/>
    </row>
    <row r="135">
      <c r="A135" s="42"/>
      <c r="B135" s="42"/>
      <c r="C135" s="42"/>
    </row>
    <row r="136">
      <c r="A136" s="42"/>
      <c r="B136" s="42"/>
      <c r="C136" s="42"/>
    </row>
    <row r="137">
      <c r="A137" s="42"/>
      <c r="B137" s="42"/>
      <c r="C137" s="42"/>
    </row>
    <row r="138">
      <c r="A138" s="42"/>
      <c r="B138" s="42"/>
      <c r="C138" s="42"/>
    </row>
    <row r="139">
      <c r="A139" s="42"/>
      <c r="B139" s="42"/>
      <c r="C139" s="42"/>
    </row>
    <row r="140">
      <c r="A140" s="42"/>
      <c r="B140" s="42"/>
      <c r="C140" s="42"/>
    </row>
    <row r="141">
      <c r="A141" s="42"/>
      <c r="B141" s="42"/>
      <c r="C141" s="42"/>
    </row>
    <row r="142">
      <c r="A142" s="42"/>
      <c r="B142" s="42"/>
      <c r="C142" s="42"/>
    </row>
    <row r="143">
      <c r="A143" s="42"/>
      <c r="B143" s="42"/>
      <c r="C143" s="42"/>
    </row>
    <row r="144">
      <c r="A144" s="42"/>
      <c r="B144" s="42"/>
      <c r="C144" s="42"/>
    </row>
    <row r="145">
      <c r="A145" s="42"/>
      <c r="B145" s="42"/>
      <c r="C145" s="42"/>
    </row>
    <row r="146">
      <c r="A146" s="42"/>
      <c r="B146" s="42"/>
      <c r="C146" s="42"/>
    </row>
    <row r="147">
      <c r="A147" s="42"/>
      <c r="B147" s="42"/>
      <c r="C147" s="42"/>
    </row>
    <row r="148">
      <c r="A148" s="42"/>
      <c r="B148" s="42"/>
      <c r="C148" s="42"/>
    </row>
    <row r="149">
      <c r="A149" s="42"/>
      <c r="B149" s="42"/>
      <c r="C149" s="42"/>
    </row>
    <row r="150">
      <c r="A150" s="42"/>
      <c r="B150" s="42"/>
      <c r="C150" s="42"/>
    </row>
    <row r="151">
      <c r="A151" s="42"/>
      <c r="B151" s="42"/>
      <c r="C151" s="42"/>
    </row>
    <row r="152">
      <c r="A152" s="42"/>
      <c r="B152" s="42"/>
      <c r="C152" s="42"/>
    </row>
    <row r="153">
      <c r="A153" s="42"/>
      <c r="B153" s="42"/>
      <c r="C153" s="42"/>
    </row>
    <row r="154">
      <c r="A154" s="42"/>
      <c r="B154" s="42"/>
      <c r="C154" s="42"/>
    </row>
    <row r="155">
      <c r="A155" s="42"/>
      <c r="B155" s="42"/>
      <c r="C155" s="42"/>
    </row>
    <row r="156">
      <c r="A156" s="42"/>
      <c r="B156" s="42"/>
      <c r="C156" s="42"/>
    </row>
    <row r="157">
      <c r="A157" s="42"/>
      <c r="B157" s="42"/>
      <c r="C157" s="42"/>
    </row>
    <row r="158">
      <c r="A158" s="42"/>
      <c r="B158" s="42"/>
      <c r="C158" s="42"/>
    </row>
    <row r="159">
      <c r="A159" s="42"/>
      <c r="B159" s="42"/>
      <c r="C159" s="42"/>
    </row>
    <row r="160">
      <c r="A160" s="42"/>
      <c r="B160" s="42"/>
      <c r="C160" s="42"/>
    </row>
    <row r="161">
      <c r="A161" s="42"/>
      <c r="B161" s="42"/>
      <c r="C161" s="42"/>
    </row>
    <row r="162">
      <c r="A162" s="42"/>
      <c r="B162" s="42"/>
      <c r="C162" s="42"/>
    </row>
    <row r="163">
      <c r="A163" s="42"/>
      <c r="B163" s="42"/>
      <c r="C163" s="42"/>
    </row>
    <row r="164">
      <c r="A164" s="42"/>
      <c r="B164" s="42"/>
      <c r="C164" s="42"/>
    </row>
    <row r="165">
      <c r="A165" s="42"/>
      <c r="B165" s="42"/>
      <c r="C165" s="42"/>
    </row>
    <row r="166">
      <c r="A166" s="42"/>
      <c r="B166" s="42"/>
      <c r="C166" s="42"/>
    </row>
    <row r="167">
      <c r="A167" s="42"/>
      <c r="B167" s="42"/>
      <c r="C167" s="42"/>
    </row>
    <row r="168">
      <c r="A168" s="42"/>
      <c r="B168" s="42"/>
      <c r="C168" s="42"/>
    </row>
    <row r="169">
      <c r="A169" s="42"/>
      <c r="B169" s="42"/>
      <c r="C169" s="42"/>
    </row>
    <row r="170">
      <c r="A170" s="42"/>
      <c r="B170" s="42"/>
      <c r="C170" s="42"/>
    </row>
    <row r="171">
      <c r="A171" s="42"/>
      <c r="B171" s="42"/>
      <c r="C171" s="42"/>
    </row>
    <row r="172">
      <c r="A172" s="42"/>
      <c r="B172" s="42"/>
      <c r="C172" s="42"/>
    </row>
    <row r="173">
      <c r="A173" s="42"/>
      <c r="B173" s="42"/>
      <c r="C173" s="42"/>
    </row>
    <row r="174">
      <c r="A174" s="42"/>
      <c r="B174" s="42"/>
      <c r="C174" s="42"/>
    </row>
    <row r="175">
      <c r="A175" s="42"/>
      <c r="B175" s="42"/>
      <c r="C175" s="42"/>
    </row>
    <row r="176">
      <c r="A176" s="42"/>
      <c r="B176" s="42"/>
      <c r="C176" s="42"/>
    </row>
    <row r="177">
      <c r="A177" s="42"/>
      <c r="B177" s="42"/>
      <c r="C177" s="42"/>
    </row>
    <row r="178">
      <c r="A178" s="42"/>
      <c r="B178" s="42"/>
      <c r="C178" s="42"/>
    </row>
    <row r="179">
      <c r="A179" s="42"/>
      <c r="B179" s="42"/>
      <c r="C179" s="42"/>
    </row>
    <row r="180">
      <c r="A180" s="42"/>
      <c r="B180" s="42"/>
      <c r="C180" s="42"/>
    </row>
    <row r="181">
      <c r="A181" s="42"/>
      <c r="B181" s="42"/>
      <c r="C181" s="42"/>
    </row>
    <row r="182">
      <c r="A182" s="42"/>
      <c r="B182" s="42"/>
      <c r="C182" s="42"/>
    </row>
    <row r="183">
      <c r="A183" s="42"/>
      <c r="B183" s="42"/>
      <c r="C183" s="42"/>
    </row>
    <row r="184">
      <c r="A184" s="42"/>
      <c r="B184" s="42"/>
      <c r="C184" s="42"/>
    </row>
    <row r="185">
      <c r="A185" s="42"/>
      <c r="B185" s="42"/>
      <c r="C185" s="42"/>
    </row>
    <row r="186">
      <c r="A186" s="42"/>
      <c r="B186" s="42"/>
      <c r="C186" s="42"/>
    </row>
    <row r="187">
      <c r="A187" s="42"/>
      <c r="B187" s="42"/>
      <c r="C187" s="42"/>
    </row>
    <row r="188">
      <c r="A188" s="42"/>
      <c r="B188" s="42"/>
      <c r="C188" s="42"/>
    </row>
    <row r="189">
      <c r="A189" s="42"/>
      <c r="B189" s="42"/>
      <c r="C189" s="42"/>
    </row>
    <row r="190">
      <c r="A190" s="42"/>
      <c r="B190" s="42"/>
      <c r="C190" s="42"/>
    </row>
    <row r="191">
      <c r="A191" s="42"/>
      <c r="B191" s="42"/>
      <c r="C191" s="42"/>
    </row>
    <row r="192">
      <c r="A192" s="42"/>
      <c r="B192" s="42"/>
      <c r="C192" s="42"/>
    </row>
    <row r="193">
      <c r="A193" s="42"/>
      <c r="B193" s="42"/>
      <c r="C193" s="42"/>
    </row>
    <row r="194">
      <c r="A194" s="42"/>
      <c r="B194" s="42"/>
      <c r="C194" s="42"/>
    </row>
    <row r="195">
      <c r="A195" s="42"/>
      <c r="B195" s="42"/>
      <c r="C195" s="42"/>
    </row>
    <row r="196">
      <c r="A196" s="42"/>
      <c r="B196" s="42"/>
      <c r="C196" s="42"/>
    </row>
    <row r="197">
      <c r="A197" s="42"/>
      <c r="B197" s="42"/>
      <c r="C197" s="42"/>
    </row>
    <row r="198">
      <c r="A198" s="42"/>
      <c r="B198" s="42"/>
      <c r="C198" s="42"/>
    </row>
    <row r="199">
      <c r="A199" s="42"/>
      <c r="B199" s="42"/>
      <c r="C199" s="42"/>
    </row>
    <row r="200">
      <c r="A200" s="42"/>
      <c r="B200" s="42"/>
      <c r="C200" s="42"/>
    </row>
    <row r="201">
      <c r="A201" s="42"/>
      <c r="B201" s="42"/>
      <c r="C201" s="42"/>
    </row>
    <row r="202">
      <c r="A202" s="42"/>
      <c r="B202" s="42"/>
      <c r="C202" s="42"/>
    </row>
    <row r="203">
      <c r="A203" s="42"/>
      <c r="B203" s="42"/>
      <c r="C203" s="42"/>
    </row>
    <row r="204">
      <c r="A204" s="42"/>
      <c r="B204" s="42"/>
      <c r="C204" s="42"/>
    </row>
    <row r="205">
      <c r="A205" s="42"/>
      <c r="B205" s="42"/>
      <c r="C205" s="42"/>
    </row>
    <row r="206">
      <c r="A206" s="42"/>
      <c r="B206" s="42"/>
      <c r="C206" s="42"/>
    </row>
    <row r="207">
      <c r="A207" s="42"/>
      <c r="B207" s="42"/>
      <c r="C207" s="42"/>
    </row>
    <row r="208">
      <c r="A208" s="42"/>
      <c r="B208" s="42"/>
      <c r="C208" s="42"/>
    </row>
    <row r="209">
      <c r="A209" s="42"/>
      <c r="B209" s="42"/>
      <c r="C209" s="42"/>
    </row>
    <row r="210">
      <c r="A210" s="42"/>
      <c r="B210" s="42"/>
      <c r="C210" s="42"/>
    </row>
    <row r="211">
      <c r="A211" s="42"/>
      <c r="B211" s="42"/>
      <c r="C211" s="42"/>
    </row>
    <row r="212">
      <c r="A212" s="42"/>
      <c r="B212" s="42"/>
      <c r="C212" s="42"/>
    </row>
    <row r="213">
      <c r="A213" s="42"/>
      <c r="B213" s="42"/>
      <c r="C213" s="42"/>
    </row>
    <row r="214">
      <c r="A214" s="42"/>
      <c r="B214" s="42"/>
      <c r="C214" s="42"/>
    </row>
    <row r="215">
      <c r="A215" s="42"/>
      <c r="B215" s="42"/>
      <c r="C215" s="42"/>
    </row>
    <row r="216">
      <c r="A216" s="42"/>
      <c r="B216" s="42"/>
      <c r="C216" s="42"/>
    </row>
    <row r="217">
      <c r="A217" s="42"/>
      <c r="B217" s="42"/>
      <c r="C217" s="42"/>
    </row>
    <row r="218">
      <c r="A218" s="42"/>
      <c r="B218" s="42"/>
      <c r="C218" s="42"/>
    </row>
    <row r="219">
      <c r="A219" s="42"/>
      <c r="B219" s="42"/>
      <c r="C219" s="42"/>
    </row>
    <row r="220">
      <c r="A220" s="42"/>
      <c r="B220" s="42"/>
      <c r="C220" s="42"/>
    </row>
    <row r="221">
      <c r="A221" s="42"/>
      <c r="B221" s="42"/>
      <c r="C221" s="42"/>
    </row>
    <row r="222">
      <c r="A222" s="42"/>
      <c r="B222" s="42"/>
      <c r="C222" s="42"/>
    </row>
    <row r="223">
      <c r="A223" s="42"/>
      <c r="B223" s="42"/>
      <c r="C223" s="42"/>
    </row>
    <row r="224">
      <c r="A224" s="42"/>
      <c r="B224" s="42"/>
      <c r="C224" s="42"/>
    </row>
    <row r="225">
      <c r="A225" s="42"/>
      <c r="B225" s="42"/>
      <c r="C225" s="42"/>
    </row>
    <row r="226">
      <c r="A226" s="42"/>
      <c r="B226" s="42"/>
      <c r="C226" s="42"/>
    </row>
    <row r="227">
      <c r="A227" s="42"/>
      <c r="B227" s="42"/>
      <c r="C227" s="42"/>
    </row>
    <row r="228">
      <c r="A228" s="42"/>
      <c r="B228" s="42"/>
      <c r="C228" s="42"/>
    </row>
    <row r="229">
      <c r="A229" s="42"/>
      <c r="B229" s="42"/>
      <c r="C229" s="42"/>
    </row>
    <row r="230">
      <c r="A230" s="42"/>
      <c r="B230" s="42"/>
      <c r="C230" s="42"/>
    </row>
    <row r="231">
      <c r="A231" s="42"/>
      <c r="B231" s="42"/>
      <c r="C231" s="42"/>
    </row>
    <row r="232">
      <c r="A232" s="42"/>
      <c r="B232" s="42"/>
      <c r="C232" s="42"/>
    </row>
    <row r="233">
      <c r="A233" s="42"/>
      <c r="B233" s="42"/>
      <c r="C233" s="42"/>
    </row>
    <row r="234">
      <c r="A234" s="42"/>
      <c r="B234" s="42"/>
      <c r="C234" s="42"/>
    </row>
    <row r="235">
      <c r="A235" s="42"/>
      <c r="B235" s="42"/>
      <c r="C235" s="42"/>
    </row>
    <row r="236">
      <c r="A236" s="42"/>
      <c r="B236" s="42"/>
      <c r="C236" s="42"/>
    </row>
    <row r="237">
      <c r="A237" s="42"/>
      <c r="B237" s="42"/>
      <c r="C237" s="42"/>
    </row>
    <row r="238">
      <c r="A238" s="42"/>
      <c r="B238" s="42"/>
      <c r="C238" s="42"/>
    </row>
    <row r="239">
      <c r="A239" s="42"/>
      <c r="B239" s="42"/>
      <c r="C239" s="42"/>
    </row>
    <row r="240">
      <c r="A240" s="42"/>
      <c r="B240" s="42"/>
      <c r="C240" s="42"/>
    </row>
    <row r="241">
      <c r="A241" s="42"/>
      <c r="B241" s="42"/>
      <c r="C241" s="42"/>
    </row>
    <row r="242">
      <c r="A242" s="42"/>
      <c r="B242" s="42"/>
      <c r="C242" s="42"/>
    </row>
    <row r="243">
      <c r="A243" s="42"/>
      <c r="B243" s="42"/>
      <c r="C243" s="42"/>
    </row>
    <row r="244">
      <c r="A244" s="42"/>
      <c r="B244" s="42"/>
      <c r="C244" s="42"/>
    </row>
    <row r="245">
      <c r="A245" s="42"/>
      <c r="B245" s="42"/>
      <c r="C245" s="42"/>
    </row>
    <row r="246">
      <c r="A246" s="42"/>
      <c r="B246" s="42"/>
      <c r="C246" s="42"/>
    </row>
    <row r="247">
      <c r="A247" s="42"/>
      <c r="B247" s="42"/>
      <c r="C247" s="42"/>
    </row>
    <row r="248">
      <c r="A248" s="42"/>
      <c r="B248" s="42"/>
      <c r="C248" s="42"/>
    </row>
    <row r="249">
      <c r="A249" s="42"/>
      <c r="B249" s="42"/>
      <c r="C249" s="42"/>
    </row>
    <row r="250">
      <c r="A250" s="42"/>
      <c r="B250" s="42"/>
      <c r="C250" s="42"/>
    </row>
    <row r="251">
      <c r="A251" s="42"/>
      <c r="B251" s="42"/>
      <c r="C251" s="42"/>
    </row>
    <row r="252">
      <c r="A252" s="42"/>
      <c r="B252" s="42"/>
      <c r="C252" s="42"/>
    </row>
    <row r="253">
      <c r="A253" s="42"/>
      <c r="B253" s="42"/>
      <c r="C253" s="42"/>
    </row>
    <row r="254">
      <c r="A254" s="42"/>
      <c r="B254" s="42"/>
      <c r="C254" s="42"/>
    </row>
    <row r="255">
      <c r="A255" s="42"/>
      <c r="B255" s="42"/>
      <c r="C255" s="42"/>
    </row>
    <row r="256">
      <c r="A256" s="42"/>
      <c r="B256" s="42"/>
      <c r="C256" s="42"/>
    </row>
    <row r="257">
      <c r="A257" s="42"/>
      <c r="B257" s="42"/>
      <c r="C257" s="42"/>
    </row>
    <row r="258">
      <c r="A258" s="42"/>
      <c r="B258" s="42"/>
      <c r="C258" s="42"/>
    </row>
    <row r="259">
      <c r="A259" s="42"/>
      <c r="B259" s="42"/>
      <c r="C259" s="42"/>
    </row>
    <row r="260">
      <c r="A260" s="42"/>
      <c r="B260" s="42"/>
      <c r="C260" s="42"/>
    </row>
    <row r="261">
      <c r="A261" s="42"/>
      <c r="B261" s="42"/>
      <c r="C261" s="42"/>
    </row>
    <row r="262">
      <c r="A262" s="42"/>
      <c r="B262" s="42"/>
      <c r="C262" s="42"/>
    </row>
    <row r="263">
      <c r="A263" s="42"/>
      <c r="B263" s="42"/>
      <c r="C263" s="42"/>
    </row>
    <row r="264">
      <c r="A264" s="42"/>
      <c r="B264" s="42"/>
      <c r="C264" s="42"/>
    </row>
    <row r="265">
      <c r="A265" s="42"/>
      <c r="B265" s="42"/>
      <c r="C265" s="42"/>
    </row>
    <row r="266">
      <c r="A266" s="42"/>
      <c r="B266" s="42"/>
      <c r="C266" s="42"/>
    </row>
    <row r="267">
      <c r="A267" s="42"/>
      <c r="B267" s="42"/>
      <c r="C267" s="42"/>
    </row>
    <row r="268">
      <c r="A268" s="42"/>
      <c r="B268" s="42"/>
      <c r="C268" s="42"/>
    </row>
    <row r="269">
      <c r="A269" s="42"/>
      <c r="B269" s="42"/>
      <c r="C269" s="42"/>
    </row>
    <row r="270">
      <c r="A270" s="42"/>
      <c r="B270" s="42"/>
      <c r="C270" s="42"/>
    </row>
    <row r="271">
      <c r="A271" s="42"/>
      <c r="B271" s="42"/>
      <c r="C271" s="42"/>
    </row>
    <row r="272">
      <c r="A272" s="42"/>
      <c r="B272" s="42"/>
      <c r="C272" s="42"/>
    </row>
    <row r="273">
      <c r="A273" s="42"/>
      <c r="B273" s="42"/>
      <c r="C273" s="42"/>
    </row>
    <row r="274">
      <c r="A274" s="42"/>
      <c r="B274" s="42"/>
      <c r="C274" s="42"/>
    </row>
    <row r="275">
      <c r="A275" s="42"/>
      <c r="B275" s="42"/>
      <c r="C275" s="42"/>
    </row>
    <row r="276">
      <c r="A276" s="42"/>
      <c r="B276" s="42"/>
      <c r="C276" s="42"/>
    </row>
    <row r="277">
      <c r="A277" s="42"/>
      <c r="B277" s="42"/>
      <c r="C277" s="42"/>
    </row>
    <row r="278">
      <c r="A278" s="42"/>
      <c r="B278" s="42"/>
      <c r="C278" s="42"/>
    </row>
    <row r="279">
      <c r="A279" s="42"/>
      <c r="B279" s="42"/>
      <c r="C279" s="42"/>
    </row>
    <row r="280">
      <c r="A280" s="42"/>
      <c r="B280" s="42"/>
      <c r="C280" s="42"/>
    </row>
    <row r="281">
      <c r="A281" s="42"/>
      <c r="B281" s="42"/>
      <c r="C281" s="42"/>
    </row>
    <row r="282">
      <c r="A282" s="42"/>
      <c r="B282" s="42"/>
      <c r="C282" s="42"/>
    </row>
    <row r="283">
      <c r="A283" s="42"/>
      <c r="B283" s="42"/>
      <c r="C283" s="42"/>
    </row>
    <row r="284">
      <c r="A284" s="42"/>
      <c r="B284" s="42"/>
      <c r="C284" s="42"/>
    </row>
    <row r="285">
      <c r="A285" s="42"/>
      <c r="B285" s="42"/>
      <c r="C285" s="42"/>
    </row>
    <row r="286">
      <c r="A286" s="42"/>
      <c r="B286" s="42"/>
      <c r="C286" s="42"/>
    </row>
    <row r="287">
      <c r="A287" s="42"/>
      <c r="B287" s="42"/>
      <c r="C287" s="42"/>
    </row>
    <row r="288">
      <c r="A288" s="42"/>
      <c r="B288" s="42"/>
      <c r="C288" s="42"/>
    </row>
    <row r="289">
      <c r="A289" s="42"/>
      <c r="B289" s="42"/>
      <c r="C289" s="42"/>
    </row>
    <row r="290">
      <c r="A290" s="42"/>
      <c r="B290" s="42"/>
      <c r="C290" s="42"/>
    </row>
    <row r="291">
      <c r="A291" s="42"/>
      <c r="B291" s="42"/>
      <c r="C291" s="42"/>
    </row>
    <row r="292">
      <c r="A292" s="42"/>
      <c r="B292" s="42"/>
      <c r="C292" s="42"/>
    </row>
    <row r="293">
      <c r="A293" s="42"/>
      <c r="B293" s="42"/>
      <c r="C293" s="42"/>
    </row>
    <row r="294">
      <c r="A294" s="42"/>
      <c r="B294" s="42"/>
      <c r="C294" s="42"/>
    </row>
    <row r="295">
      <c r="A295" s="42"/>
      <c r="B295" s="42"/>
      <c r="C295" s="42"/>
    </row>
    <row r="296">
      <c r="A296" s="42"/>
      <c r="B296" s="42"/>
      <c r="C296" s="42"/>
    </row>
    <row r="297">
      <c r="A297" s="42"/>
      <c r="B297" s="42"/>
      <c r="C297" s="42"/>
    </row>
    <row r="298">
      <c r="A298" s="42"/>
      <c r="B298" s="42"/>
      <c r="C298" s="42"/>
    </row>
    <row r="299">
      <c r="A299" s="42"/>
      <c r="B299" s="42"/>
      <c r="C299" s="42"/>
    </row>
    <row r="300">
      <c r="A300" s="42"/>
      <c r="B300" s="42"/>
      <c r="C300" s="42"/>
    </row>
    <row r="301">
      <c r="A301" s="42"/>
      <c r="B301" s="42"/>
      <c r="C301" s="42"/>
    </row>
    <row r="302">
      <c r="A302" s="42"/>
      <c r="B302" s="42"/>
      <c r="C302" s="42"/>
    </row>
    <row r="303">
      <c r="A303" s="42"/>
      <c r="B303" s="42"/>
      <c r="C303" s="42"/>
    </row>
    <row r="304">
      <c r="A304" s="42"/>
      <c r="B304" s="42"/>
      <c r="C304" s="42"/>
    </row>
    <row r="305">
      <c r="A305" s="42"/>
      <c r="B305" s="42"/>
      <c r="C305" s="42"/>
    </row>
    <row r="306">
      <c r="A306" s="42"/>
      <c r="B306" s="42"/>
      <c r="C306" s="42"/>
    </row>
    <row r="307">
      <c r="A307" s="42"/>
      <c r="B307" s="42"/>
      <c r="C307" s="42"/>
    </row>
    <row r="308">
      <c r="A308" s="42"/>
      <c r="B308" s="42"/>
      <c r="C308" s="42"/>
    </row>
    <row r="309">
      <c r="A309" s="42"/>
      <c r="B309" s="42"/>
      <c r="C309" s="42"/>
    </row>
    <row r="310">
      <c r="A310" s="42"/>
      <c r="B310" s="42"/>
      <c r="C310" s="42"/>
    </row>
    <row r="311">
      <c r="A311" s="42"/>
      <c r="B311" s="42"/>
      <c r="C311" s="42"/>
    </row>
    <row r="312">
      <c r="A312" s="42"/>
      <c r="B312" s="42"/>
      <c r="C312" s="42"/>
    </row>
    <row r="313">
      <c r="A313" s="42"/>
      <c r="B313" s="42"/>
      <c r="C313" s="42"/>
    </row>
    <row r="314">
      <c r="A314" s="42"/>
      <c r="B314" s="42"/>
      <c r="C314" s="42"/>
    </row>
    <row r="315">
      <c r="A315" s="42"/>
      <c r="B315" s="42"/>
      <c r="C315" s="42"/>
    </row>
    <row r="316">
      <c r="A316" s="42"/>
      <c r="B316" s="42"/>
      <c r="C316" s="42"/>
    </row>
    <row r="317">
      <c r="A317" s="42"/>
      <c r="B317" s="42"/>
      <c r="C317" s="42"/>
    </row>
    <row r="318">
      <c r="A318" s="42"/>
      <c r="B318" s="42"/>
      <c r="C318" s="42"/>
    </row>
    <row r="319">
      <c r="A319" s="42"/>
      <c r="B319" s="42"/>
      <c r="C319" s="42"/>
    </row>
    <row r="320">
      <c r="A320" s="42"/>
      <c r="B320" s="42"/>
      <c r="C320" s="42"/>
    </row>
    <row r="321">
      <c r="A321" s="42"/>
      <c r="B321" s="42"/>
      <c r="C321" s="42"/>
    </row>
    <row r="322">
      <c r="A322" s="42"/>
      <c r="B322" s="42"/>
      <c r="C322" s="42"/>
    </row>
    <row r="323">
      <c r="A323" s="42"/>
      <c r="B323" s="42"/>
      <c r="C323" s="42"/>
    </row>
    <row r="324">
      <c r="A324" s="42"/>
      <c r="B324" s="42"/>
      <c r="C324" s="42"/>
    </row>
    <row r="325">
      <c r="A325" s="42"/>
      <c r="B325" s="42"/>
      <c r="C325" s="42"/>
    </row>
    <row r="326">
      <c r="A326" s="42"/>
      <c r="B326" s="42"/>
      <c r="C326" s="42"/>
    </row>
    <row r="327">
      <c r="A327" s="42"/>
      <c r="B327" s="42"/>
      <c r="C327" s="42"/>
    </row>
    <row r="328">
      <c r="A328" s="42"/>
      <c r="B328" s="42"/>
      <c r="C328" s="42"/>
    </row>
    <row r="329">
      <c r="A329" s="42"/>
      <c r="B329" s="42"/>
      <c r="C329" s="42"/>
    </row>
    <row r="330">
      <c r="A330" s="42"/>
      <c r="B330" s="42"/>
      <c r="C330" s="42"/>
    </row>
    <row r="331">
      <c r="A331" s="42"/>
      <c r="B331" s="42"/>
      <c r="C331" s="42"/>
    </row>
    <row r="332">
      <c r="A332" s="42"/>
      <c r="B332" s="42"/>
      <c r="C332" s="42"/>
    </row>
    <row r="333">
      <c r="A333" s="42"/>
      <c r="B333" s="42"/>
      <c r="C333" s="42"/>
    </row>
    <row r="334">
      <c r="A334" s="42"/>
      <c r="B334" s="42"/>
      <c r="C334" s="42"/>
    </row>
    <row r="335">
      <c r="A335" s="42"/>
      <c r="B335" s="42"/>
      <c r="C335" s="42"/>
    </row>
    <row r="336">
      <c r="A336" s="42"/>
      <c r="B336" s="42"/>
      <c r="C336" s="42"/>
    </row>
    <row r="337">
      <c r="A337" s="42"/>
      <c r="B337" s="42"/>
      <c r="C337" s="42"/>
    </row>
    <row r="338">
      <c r="A338" s="42"/>
      <c r="B338" s="42"/>
      <c r="C338" s="42"/>
    </row>
    <row r="339">
      <c r="A339" s="42"/>
      <c r="B339" s="42"/>
      <c r="C339" s="42"/>
    </row>
    <row r="340">
      <c r="A340" s="42"/>
      <c r="B340" s="42"/>
      <c r="C340" s="42"/>
    </row>
    <row r="341">
      <c r="A341" s="42"/>
      <c r="B341" s="42"/>
      <c r="C341" s="42"/>
    </row>
    <row r="342">
      <c r="A342" s="42"/>
      <c r="B342" s="42"/>
      <c r="C342" s="42"/>
    </row>
    <row r="343">
      <c r="A343" s="42"/>
      <c r="B343" s="42"/>
      <c r="C343" s="42"/>
    </row>
    <row r="344">
      <c r="A344" s="42"/>
      <c r="B344" s="42"/>
      <c r="C344" s="42"/>
    </row>
    <row r="345">
      <c r="A345" s="42"/>
      <c r="B345" s="42"/>
      <c r="C345" s="42"/>
    </row>
    <row r="346">
      <c r="A346" s="42"/>
      <c r="B346" s="42"/>
      <c r="C346" s="42"/>
    </row>
    <row r="347">
      <c r="A347" s="42"/>
      <c r="B347" s="42"/>
      <c r="C347" s="42"/>
    </row>
    <row r="348">
      <c r="A348" s="42"/>
      <c r="B348" s="42"/>
      <c r="C348" s="42"/>
    </row>
    <row r="349">
      <c r="A349" s="42"/>
      <c r="B349" s="42"/>
      <c r="C349" s="42"/>
    </row>
    <row r="350">
      <c r="A350" s="42"/>
      <c r="B350" s="42"/>
      <c r="C350" s="42"/>
    </row>
    <row r="351">
      <c r="A351" s="42"/>
      <c r="B351" s="42"/>
      <c r="C351" s="42"/>
    </row>
    <row r="352">
      <c r="A352" s="42"/>
      <c r="B352" s="42"/>
      <c r="C352" s="42"/>
    </row>
    <row r="353">
      <c r="A353" s="42"/>
      <c r="B353" s="42"/>
      <c r="C353" s="42"/>
    </row>
    <row r="354">
      <c r="A354" s="42"/>
      <c r="B354" s="42"/>
      <c r="C354" s="42"/>
    </row>
    <row r="355">
      <c r="A355" s="42"/>
      <c r="B355" s="42"/>
      <c r="C355" s="42"/>
    </row>
    <row r="356">
      <c r="A356" s="42"/>
      <c r="B356" s="42"/>
      <c r="C356" s="42"/>
    </row>
    <row r="357">
      <c r="A357" s="42"/>
      <c r="B357" s="42"/>
      <c r="C357" s="42"/>
    </row>
    <row r="358">
      <c r="A358" s="42"/>
      <c r="B358" s="42"/>
      <c r="C358" s="42"/>
    </row>
    <row r="359">
      <c r="A359" s="42"/>
      <c r="B359" s="42"/>
      <c r="C359" s="42"/>
    </row>
    <row r="360">
      <c r="A360" s="42"/>
      <c r="B360" s="42"/>
      <c r="C360" s="42"/>
    </row>
    <row r="361">
      <c r="A361" s="42"/>
      <c r="B361" s="42"/>
      <c r="C361" s="42"/>
    </row>
    <row r="362">
      <c r="A362" s="42"/>
      <c r="B362" s="42"/>
      <c r="C362" s="42"/>
    </row>
    <row r="363">
      <c r="A363" s="42"/>
      <c r="B363" s="42"/>
      <c r="C363" s="42"/>
    </row>
    <row r="364">
      <c r="A364" s="42"/>
      <c r="B364" s="42"/>
      <c r="C364" s="42"/>
    </row>
    <row r="365">
      <c r="A365" s="42"/>
      <c r="B365" s="42"/>
      <c r="C365" s="42"/>
    </row>
    <row r="366">
      <c r="A366" s="42"/>
      <c r="B366" s="42"/>
      <c r="C366" s="42"/>
    </row>
    <row r="367">
      <c r="A367" s="42"/>
      <c r="B367" s="42"/>
      <c r="C367" s="42"/>
    </row>
    <row r="368">
      <c r="A368" s="42"/>
      <c r="B368" s="42"/>
      <c r="C368" s="42"/>
    </row>
    <row r="369">
      <c r="A369" s="42"/>
      <c r="B369" s="42"/>
      <c r="C369" s="42"/>
    </row>
    <row r="370">
      <c r="A370" s="42"/>
      <c r="B370" s="42"/>
      <c r="C370" s="42"/>
    </row>
    <row r="371">
      <c r="A371" s="42"/>
      <c r="B371" s="42"/>
      <c r="C371" s="42"/>
    </row>
    <row r="372">
      <c r="A372" s="42"/>
      <c r="B372" s="42"/>
      <c r="C372" s="42"/>
    </row>
    <row r="373">
      <c r="A373" s="42"/>
      <c r="B373" s="42"/>
      <c r="C373" s="42"/>
    </row>
    <row r="374">
      <c r="A374" s="42"/>
      <c r="B374" s="42"/>
      <c r="C374" s="42"/>
    </row>
    <row r="375">
      <c r="A375" s="42"/>
      <c r="B375" s="42"/>
      <c r="C375" s="42"/>
    </row>
    <row r="376">
      <c r="A376" s="42"/>
      <c r="B376" s="42"/>
      <c r="C376" s="42"/>
    </row>
    <row r="377">
      <c r="A377" s="42"/>
      <c r="B377" s="42"/>
      <c r="C377" s="42"/>
    </row>
    <row r="378">
      <c r="A378" s="42"/>
      <c r="B378" s="42"/>
      <c r="C378" s="42"/>
    </row>
    <row r="379">
      <c r="A379" s="42"/>
      <c r="B379" s="42"/>
      <c r="C379" s="42"/>
    </row>
    <row r="380">
      <c r="A380" s="42"/>
      <c r="B380" s="42"/>
      <c r="C380" s="42"/>
    </row>
    <row r="381">
      <c r="A381" s="42"/>
      <c r="B381" s="42"/>
      <c r="C381" s="42"/>
    </row>
    <row r="382">
      <c r="A382" s="42"/>
      <c r="B382" s="42"/>
      <c r="C382" s="42"/>
    </row>
    <row r="383">
      <c r="A383" s="42"/>
      <c r="B383" s="42"/>
      <c r="C383" s="42"/>
    </row>
    <row r="384">
      <c r="A384" s="42"/>
      <c r="B384" s="42"/>
      <c r="C384" s="42"/>
    </row>
    <row r="385">
      <c r="A385" s="42"/>
      <c r="B385" s="42"/>
      <c r="C385" s="42"/>
    </row>
    <row r="386">
      <c r="A386" s="42"/>
      <c r="B386" s="42"/>
      <c r="C386" s="42"/>
    </row>
    <row r="387">
      <c r="A387" s="42"/>
      <c r="B387" s="42"/>
      <c r="C387" s="42"/>
    </row>
    <row r="388">
      <c r="A388" s="42"/>
      <c r="B388" s="42"/>
      <c r="C388" s="42"/>
    </row>
    <row r="389">
      <c r="A389" s="42"/>
      <c r="B389" s="42"/>
      <c r="C389" s="42"/>
    </row>
    <row r="390">
      <c r="A390" s="42"/>
      <c r="B390" s="42"/>
      <c r="C390" s="42"/>
    </row>
    <row r="391">
      <c r="A391" s="42"/>
      <c r="B391" s="42"/>
      <c r="C391" s="42"/>
    </row>
    <row r="392">
      <c r="A392" s="42"/>
      <c r="B392" s="42"/>
      <c r="C392" s="42"/>
    </row>
    <row r="393">
      <c r="A393" s="42"/>
      <c r="B393" s="42"/>
      <c r="C393" s="42"/>
    </row>
    <row r="394">
      <c r="A394" s="42"/>
      <c r="B394" s="42"/>
      <c r="C394" s="42"/>
    </row>
    <row r="395">
      <c r="A395" s="42"/>
      <c r="B395" s="42"/>
      <c r="C395" s="42"/>
    </row>
    <row r="396">
      <c r="A396" s="42"/>
      <c r="B396" s="42"/>
      <c r="C396" s="42"/>
    </row>
    <row r="397">
      <c r="A397" s="42"/>
      <c r="B397" s="42"/>
      <c r="C397" s="42"/>
    </row>
    <row r="398">
      <c r="A398" s="42"/>
      <c r="B398" s="42"/>
      <c r="C398" s="42"/>
    </row>
    <row r="399">
      <c r="A399" s="42"/>
      <c r="B399" s="42"/>
      <c r="C399" s="42"/>
    </row>
    <row r="400">
      <c r="A400" s="42"/>
      <c r="B400" s="42"/>
      <c r="C400" s="42"/>
    </row>
    <row r="401">
      <c r="A401" s="42"/>
      <c r="B401" s="42"/>
      <c r="C401" s="42"/>
    </row>
    <row r="402">
      <c r="A402" s="42"/>
      <c r="B402" s="42"/>
      <c r="C402" s="42"/>
    </row>
    <row r="403">
      <c r="A403" s="42"/>
      <c r="B403" s="42"/>
      <c r="C403" s="42"/>
    </row>
    <row r="404">
      <c r="A404" s="42"/>
      <c r="B404" s="42"/>
      <c r="C404" s="42"/>
    </row>
    <row r="405">
      <c r="A405" s="42"/>
      <c r="B405" s="42"/>
      <c r="C405" s="42"/>
    </row>
    <row r="406">
      <c r="A406" s="42"/>
      <c r="B406" s="42"/>
      <c r="C406" s="42"/>
    </row>
    <row r="407">
      <c r="A407" s="42"/>
      <c r="B407" s="42"/>
      <c r="C407" s="42"/>
    </row>
    <row r="408">
      <c r="A408" s="42"/>
      <c r="B408" s="42"/>
      <c r="C408" s="42"/>
    </row>
    <row r="409">
      <c r="A409" s="42"/>
      <c r="B409" s="42"/>
      <c r="C409" s="42"/>
    </row>
    <row r="410">
      <c r="A410" s="42"/>
      <c r="B410" s="42"/>
      <c r="C410" s="42"/>
    </row>
    <row r="411">
      <c r="A411" s="42"/>
      <c r="B411" s="42"/>
      <c r="C411" s="42"/>
    </row>
    <row r="412">
      <c r="A412" s="42"/>
      <c r="B412" s="42"/>
      <c r="C412" s="42"/>
    </row>
    <row r="413">
      <c r="A413" s="42"/>
      <c r="B413" s="42"/>
      <c r="C413" s="42"/>
    </row>
    <row r="414">
      <c r="A414" s="42"/>
      <c r="B414" s="42"/>
      <c r="C414" s="42"/>
    </row>
    <row r="415">
      <c r="A415" s="42"/>
      <c r="B415" s="42"/>
      <c r="C415" s="42"/>
    </row>
    <row r="416">
      <c r="A416" s="42"/>
      <c r="B416" s="42"/>
      <c r="C416" s="42"/>
    </row>
    <row r="417">
      <c r="A417" s="42"/>
      <c r="B417" s="42"/>
      <c r="C417" s="42"/>
    </row>
    <row r="418">
      <c r="A418" s="42"/>
      <c r="B418" s="42"/>
      <c r="C418" s="42"/>
    </row>
    <row r="419">
      <c r="A419" s="42"/>
      <c r="B419" s="42"/>
      <c r="C419" s="42"/>
    </row>
    <row r="420">
      <c r="A420" s="42"/>
      <c r="B420" s="42"/>
      <c r="C420" s="42"/>
    </row>
    <row r="421">
      <c r="A421" s="42"/>
      <c r="B421" s="42"/>
      <c r="C421" s="42"/>
    </row>
    <row r="422">
      <c r="A422" s="42"/>
      <c r="B422" s="42"/>
      <c r="C422" s="42"/>
    </row>
    <row r="423">
      <c r="A423" s="42"/>
      <c r="B423" s="42"/>
      <c r="C423" s="42"/>
    </row>
    <row r="424">
      <c r="A424" s="42"/>
      <c r="B424" s="42"/>
      <c r="C424" s="42"/>
    </row>
    <row r="425">
      <c r="A425" s="42"/>
      <c r="B425" s="42"/>
      <c r="C425" s="42"/>
    </row>
    <row r="426">
      <c r="A426" s="42"/>
      <c r="B426" s="42"/>
      <c r="C426" s="42"/>
    </row>
    <row r="427">
      <c r="A427" s="42"/>
      <c r="B427" s="42"/>
      <c r="C427" s="42"/>
    </row>
    <row r="428">
      <c r="A428" s="42"/>
      <c r="B428" s="42"/>
      <c r="C428" s="42"/>
    </row>
    <row r="429">
      <c r="A429" s="42"/>
      <c r="B429" s="42"/>
      <c r="C429" s="42"/>
    </row>
    <row r="430">
      <c r="A430" s="42"/>
      <c r="B430" s="42"/>
      <c r="C430" s="42"/>
    </row>
    <row r="431">
      <c r="A431" s="42"/>
      <c r="B431" s="42"/>
      <c r="C431" s="42"/>
    </row>
    <row r="432">
      <c r="A432" s="42"/>
      <c r="B432" s="42"/>
      <c r="C432" s="42"/>
    </row>
    <row r="433">
      <c r="A433" s="42"/>
      <c r="B433" s="42"/>
      <c r="C433" s="42"/>
    </row>
    <row r="434">
      <c r="A434" s="42"/>
      <c r="B434" s="42"/>
      <c r="C434" s="42"/>
    </row>
    <row r="435">
      <c r="A435" s="42"/>
      <c r="B435" s="42"/>
      <c r="C435" s="42"/>
    </row>
    <row r="436">
      <c r="A436" s="42"/>
      <c r="B436" s="42"/>
      <c r="C436" s="42"/>
    </row>
    <row r="437">
      <c r="A437" s="42"/>
      <c r="B437" s="42"/>
      <c r="C437" s="42"/>
    </row>
    <row r="438">
      <c r="A438" s="42"/>
      <c r="B438" s="42"/>
      <c r="C438" s="42"/>
    </row>
    <row r="439">
      <c r="A439" s="42"/>
      <c r="B439" s="42"/>
      <c r="C439" s="42"/>
    </row>
    <row r="440">
      <c r="A440" s="42"/>
      <c r="B440" s="42"/>
      <c r="C440" s="42"/>
    </row>
    <row r="441">
      <c r="A441" s="42"/>
      <c r="B441" s="42"/>
      <c r="C441" s="42"/>
    </row>
    <row r="442">
      <c r="A442" s="42"/>
      <c r="B442" s="42"/>
      <c r="C442" s="42"/>
    </row>
    <row r="443">
      <c r="A443" s="42"/>
      <c r="B443" s="42"/>
      <c r="C443" s="42"/>
    </row>
    <row r="444">
      <c r="A444" s="42"/>
      <c r="B444" s="42"/>
      <c r="C444" s="42"/>
    </row>
    <row r="445">
      <c r="A445" s="42"/>
      <c r="B445" s="42"/>
      <c r="C445" s="42"/>
    </row>
    <row r="446">
      <c r="A446" s="42"/>
      <c r="B446" s="42"/>
      <c r="C446" s="42"/>
    </row>
    <row r="447">
      <c r="A447" s="42"/>
      <c r="B447" s="42"/>
      <c r="C447" s="42"/>
    </row>
    <row r="448">
      <c r="A448" s="42"/>
      <c r="B448" s="42"/>
      <c r="C448" s="42"/>
    </row>
    <row r="449">
      <c r="A449" s="42"/>
      <c r="B449" s="42"/>
      <c r="C449" s="42"/>
    </row>
    <row r="450">
      <c r="A450" s="42"/>
      <c r="B450" s="42"/>
      <c r="C450" s="42"/>
    </row>
    <row r="451">
      <c r="A451" s="42"/>
      <c r="B451" s="42"/>
      <c r="C451" s="42"/>
    </row>
    <row r="452">
      <c r="A452" s="42"/>
      <c r="B452" s="42"/>
      <c r="C452" s="42"/>
    </row>
    <row r="453">
      <c r="A453" s="42"/>
      <c r="B453" s="42"/>
      <c r="C453" s="42"/>
    </row>
    <row r="454">
      <c r="A454" s="42"/>
      <c r="B454" s="42"/>
      <c r="C454" s="42"/>
    </row>
    <row r="455">
      <c r="A455" s="42"/>
      <c r="B455" s="42"/>
      <c r="C455" s="42"/>
    </row>
    <row r="456">
      <c r="A456" s="42"/>
      <c r="B456" s="42"/>
      <c r="C456" s="42"/>
    </row>
    <row r="457">
      <c r="A457" s="42"/>
      <c r="B457" s="42"/>
      <c r="C457" s="42"/>
    </row>
    <row r="458">
      <c r="A458" s="42"/>
      <c r="B458" s="42"/>
      <c r="C458" s="42"/>
    </row>
    <row r="459">
      <c r="A459" s="42"/>
      <c r="B459" s="42"/>
      <c r="C459" s="42"/>
    </row>
    <row r="460">
      <c r="A460" s="42"/>
      <c r="B460" s="42"/>
      <c r="C460" s="42"/>
    </row>
    <row r="461">
      <c r="A461" s="42"/>
      <c r="B461" s="42"/>
      <c r="C461" s="42"/>
    </row>
    <row r="462">
      <c r="A462" s="42"/>
      <c r="B462" s="42"/>
      <c r="C462" s="42"/>
    </row>
    <row r="463">
      <c r="A463" s="42"/>
      <c r="B463" s="42"/>
      <c r="C463" s="42"/>
    </row>
    <row r="464">
      <c r="A464" s="42"/>
      <c r="B464" s="42"/>
      <c r="C464" s="42"/>
    </row>
    <row r="465">
      <c r="A465" s="42"/>
      <c r="B465" s="42"/>
      <c r="C465" s="42"/>
    </row>
    <row r="466">
      <c r="A466" s="42"/>
      <c r="B466" s="42"/>
      <c r="C466" s="42"/>
    </row>
    <row r="467">
      <c r="A467" s="42"/>
      <c r="B467" s="42"/>
      <c r="C467" s="42"/>
    </row>
    <row r="468">
      <c r="A468" s="42"/>
      <c r="B468" s="42"/>
      <c r="C468" s="42"/>
    </row>
    <row r="469">
      <c r="A469" s="42"/>
      <c r="B469" s="42"/>
      <c r="C469" s="42"/>
    </row>
    <row r="470">
      <c r="A470" s="42"/>
      <c r="B470" s="42"/>
      <c r="C470" s="42"/>
    </row>
    <row r="471">
      <c r="A471" s="42"/>
      <c r="B471" s="42"/>
      <c r="C471" s="42"/>
    </row>
    <row r="472">
      <c r="A472" s="42"/>
      <c r="B472" s="42"/>
      <c r="C472" s="42"/>
    </row>
    <row r="473">
      <c r="A473" s="42"/>
      <c r="B473" s="42"/>
      <c r="C473" s="42"/>
    </row>
    <row r="474">
      <c r="A474" s="42"/>
      <c r="B474" s="42"/>
      <c r="C474" s="42"/>
    </row>
    <row r="475">
      <c r="A475" s="42"/>
      <c r="B475" s="42"/>
      <c r="C475" s="42"/>
    </row>
    <row r="476">
      <c r="A476" s="42"/>
      <c r="B476" s="42"/>
      <c r="C476" s="42"/>
    </row>
    <row r="477">
      <c r="A477" s="42"/>
      <c r="B477" s="42"/>
      <c r="C477" s="42"/>
    </row>
    <row r="478">
      <c r="A478" s="42"/>
      <c r="B478" s="42"/>
      <c r="C478" s="42"/>
    </row>
    <row r="479">
      <c r="A479" s="42"/>
      <c r="B479" s="42"/>
      <c r="C479" s="42"/>
    </row>
    <row r="480">
      <c r="A480" s="42"/>
      <c r="B480" s="42"/>
      <c r="C480" s="42"/>
    </row>
    <row r="481">
      <c r="A481" s="42"/>
      <c r="B481" s="42"/>
      <c r="C481" s="42"/>
    </row>
    <row r="482">
      <c r="A482" s="42"/>
      <c r="B482" s="42"/>
      <c r="C482" s="42"/>
    </row>
    <row r="483">
      <c r="A483" s="42"/>
      <c r="B483" s="42"/>
      <c r="C483" s="42"/>
    </row>
    <row r="484">
      <c r="A484" s="42"/>
      <c r="B484" s="42"/>
      <c r="C484" s="42"/>
    </row>
    <row r="485">
      <c r="A485" s="42"/>
      <c r="B485" s="42"/>
      <c r="C485" s="42"/>
    </row>
    <row r="486">
      <c r="A486" s="42"/>
      <c r="B486" s="42"/>
      <c r="C486" s="42"/>
    </row>
    <row r="487">
      <c r="A487" s="42"/>
      <c r="B487" s="42"/>
      <c r="C487" s="42"/>
    </row>
    <row r="488">
      <c r="A488" s="42"/>
      <c r="B488" s="42"/>
      <c r="C488" s="42"/>
    </row>
    <row r="489">
      <c r="A489" s="42"/>
      <c r="B489" s="42"/>
      <c r="C489" s="42"/>
    </row>
    <row r="490">
      <c r="A490" s="42"/>
      <c r="B490" s="42"/>
      <c r="C490" s="42"/>
    </row>
    <row r="491">
      <c r="A491" s="42"/>
      <c r="B491" s="42"/>
      <c r="C491" s="42"/>
    </row>
    <row r="492">
      <c r="A492" s="42"/>
      <c r="B492" s="42"/>
      <c r="C492" s="42"/>
    </row>
    <row r="493">
      <c r="A493" s="42"/>
      <c r="B493" s="42"/>
      <c r="C493" s="42"/>
    </row>
    <row r="494">
      <c r="A494" s="42"/>
      <c r="B494" s="42"/>
      <c r="C494" s="42"/>
    </row>
    <row r="495">
      <c r="A495" s="42"/>
      <c r="B495" s="42"/>
      <c r="C495" s="42"/>
    </row>
    <row r="496">
      <c r="A496" s="42"/>
      <c r="B496" s="42"/>
      <c r="C496" s="42"/>
    </row>
    <row r="497">
      <c r="A497" s="42"/>
      <c r="B497" s="42"/>
      <c r="C497" s="42"/>
    </row>
    <row r="498">
      <c r="A498" s="42"/>
      <c r="B498" s="42"/>
      <c r="C498" s="42"/>
    </row>
    <row r="499">
      <c r="A499" s="42"/>
      <c r="B499" s="42"/>
      <c r="C499" s="42"/>
    </row>
    <row r="500">
      <c r="A500" s="42"/>
      <c r="B500" s="42"/>
      <c r="C500" s="42"/>
    </row>
    <row r="501">
      <c r="A501" s="42"/>
      <c r="B501" s="42"/>
      <c r="C501" s="42"/>
    </row>
    <row r="502">
      <c r="A502" s="42"/>
      <c r="B502" s="42"/>
      <c r="C502" s="42"/>
    </row>
    <row r="503">
      <c r="A503" s="42"/>
      <c r="B503" s="42"/>
      <c r="C503" s="42"/>
    </row>
    <row r="504">
      <c r="A504" s="42"/>
      <c r="B504" s="42"/>
      <c r="C504" s="42"/>
    </row>
    <row r="505">
      <c r="A505" s="42"/>
      <c r="B505" s="42"/>
      <c r="C505" s="42"/>
    </row>
    <row r="506">
      <c r="A506" s="42"/>
      <c r="B506" s="42"/>
      <c r="C506" s="42"/>
    </row>
    <row r="507">
      <c r="A507" s="42"/>
      <c r="B507" s="42"/>
      <c r="C507" s="42"/>
    </row>
    <row r="508">
      <c r="A508" s="42"/>
      <c r="B508" s="42"/>
      <c r="C508" s="42"/>
    </row>
    <row r="509">
      <c r="A509" s="42"/>
      <c r="B509" s="42"/>
      <c r="C509" s="42"/>
    </row>
    <row r="510">
      <c r="A510" s="42"/>
      <c r="B510" s="42"/>
      <c r="C510" s="42"/>
    </row>
    <row r="511">
      <c r="A511" s="42"/>
      <c r="B511" s="42"/>
      <c r="C511" s="42"/>
    </row>
    <row r="512">
      <c r="A512" s="42"/>
      <c r="B512" s="42"/>
      <c r="C512" s="42"/>
    </row>
    <row r="513">
      <c r="A513" s="42"/>
      <c r="B513" s="42"/>
      <c r="C513" s="42"/>
    </row>
    <row r="514">
      <c r="A514" s="42"/>
      <c r="B514" s="42"/>
      <c r="C514" s="42"/>
    </row>
    <row r="515">
      <c r="A515" s="42"/>
      <c r="B515" s="42"/>
      <c r="C515" s="42"/>
    </row>
    <row r="516">
      <c r="A516" s="42"/>
      <c r="B516" s="42"/>
      <c r="C516" s="42"/>
    </row>
    <row r="517">
      <c r="A517" s="42"/>
      <c r="B517" s="42"/>
      <c r="C517" s="42"/>
    </row>
    <row r="518">
      <c r="A518" s="42"/>
      <c r="B518" s="42"/>
      <c r="C518" s="42"/>
    </row>
    <row r="519">
      <c r="A519" s="42"/>
      <c r="B519" s="42"/>
      <c r="C519" s="42"/>
    </row>
    <row r="520">
      <c r="A520" s="42"/>
      <c r="B520" s="42"/>
      <c r="C520" s="42"/>
    </row>
    <row r="521">
      <c r="A521" s="42"/>
      <c r="B521" s="42"/>
      <c r="C521" s="42"/>
    </row>
    <row r="522">
      <c r="A522" s="42"/>
      <c r="B522" s="42"/>
      <c r="C522" s="42"/>
    </row>
    <row r="523">
      <c r="A523" s="42"/>
      <c r="B523" s="42"/>
      <c r="C523" s="42"/>
    </row>
    <row r="524">
      <c r="A524" s="42"/>
      <c r="B524" s="42"/>
      <c r="C524" s="42"/>
    </row>
    <row r="525">
      <c r="A525" s="42"/>
      <c r="B525" s="42"/>
      <c r="C525" s="42"/>
    </row>
    <row r="526">
      <c r="A526" s="42"/>
      <c r="B526" s="42"/>
      <c r="C526" s="42"/>
    </row>
    <row r="527">
      <c r="A527" s="42"/>
      <c r="B527" s="42"/>
      <c r="C527" s="42"/>
    </row>
    <row r="528">
      <c r="A528" s="42"/>
      <c r="B528" s="42"/>
      <c r="C528" s="42"/>
    </row>
    <row r="529">
      <c r="A529" s="42"/>
      <c r="B529" s="42"/>
      <c r="C529" s="42"/>
    </row>
    <row r="530">
      <c r="A530" s="42"/>
      <c r="B530" s="42"/>
      <c r="C530" s="42"/>
    </row>
    <row r="531">
      <c r="A531" s="42"/>
      <c r="B531" s="42"/>
      <c r="C531" s="42"/>
    </row>
    <row r="532">
      <c r="A532" s="42"/>
      <c r="B532" s="42"/>
      <c r="C532" s="42"/>
    </row>
    <row r="533">
      <c r="A533" s="42"/>
      <c r="B533" s="42"/>
      <c r="C533" s="42"/>
    </row>
    <row r="534">
      <c r="A534" s="42"/>
      <c r="B534" s="42"/>
      <c r="C534" s="42"/>
    </row>
    <row r="535">
      <c r="A535" s="42"/>
      <c r="B535" s="42"/>
      <c r="C535" s="42"/>
    </row>
    <row r="536">
      <c r="A536" s="42"/>
      <c r="B536" s="42"/>
      <c r="C536" s="42"/>
    </row>
    <row r="537">
      <c r="A537" s="42"/>
      <c r="B537" s="42"/>
      <c r="C537" s="42"/>
    </row>
    <row r="538">
      <c r="A538" s="42"/>
      <c r="B538" s="42"/>
      <c r="C538" s="42"/>
    </row>
    <row r="539">
      <c r="A539" s="42"/>
      <c r="B539" s="42"/>
      <c r="C539" s="42"/>
    </row>
    <row r="540">
      <c r="A540" s="42"/>
      <c r="B540" s="42"/>
      <c r="C540" s="42"/>
    </row>
    <row r="541">
      <c r="A541" s="42"/>
      <c r="B541" s="42"/>
      <c r="C541" s="42"/>
    </row>
    <row r="542">
      <c r="A542" s="42"/>
      <c r="B542" s="42"/>
      <c r="C542" s="42"/>
    </row>
    <row r="543">
      <c r="A543" s="42"/>
      <c r="B543" s="42"/>
      <c r="C543" s="42"/>
    </row>
    <row r="544">
      <c r="A544" s="42"/>
      <c r="B544" s="42"/>
      <c r="C544" s="42"/>
    </row>
    <row r="545">
      <c r="A545" s="42"/>
      <c r="B545" s="42"/>
      <c r="C545" s="42"/>
    </row>
    <row r="546">
      <c r="A546" s="42"/>
      <c r="B546" s="42"/>
      <c r="C546" s="42"/>
    </row>
    <row r="547">
      <c r="A547" s="42"/>
      <c r="B547" s="42"/>
      <c r="C547" s="42"/>
    </row>
    <row r="548">
      <c r="A548" s="42"/>
      <c r="B548" s="42"/>
      <c r="C548" s="42"/>
    </row>
    <row r="549">
      <c r="A549" s="42"/>
      <c r="B549" s="42"/>
      <c r="C549" s="42"/>
    </row>
    <row r="550">
      <c r="A550" s="42"/>
      <c r="B550" s="42"/>
      <c r="C550" s="42"/>
    </row>
    <row r="551">
      <c r="A551" s="42"/>
      <c r="B551" s="42"/>
      <c r="C551" s="42"/>
    </row>
    <row r="552">
      <c r="A552" s="42"/>
      <c r="B552" s="42"/>
      <c r="C552" s="42"/>
    </row>
    <row r="553">
      <c r="A553" s="42"/>
      <c r="B553" s="42"/>
      <c r="C553" s="42"/>
    </row>
    <row r="554">
      <c r="A554" s="42"/>
      <c r="B554" s="42"/>
      <c r="C554" s="42"/>
    </row>
    <row r="555">
      <c r="A555" s="42"/>
      <c r="B555" s="42"/>
      <c r="C555" s="42"/>
    </row>
    <row r="556">
      <c r="A556" s="42"/>
      <c r="B556" s="42"/>
      <c r="C556" s="42"/>
    </row>
    <row r="557">
      <c r="A557" s="42"/>
      <c r="B557" s="42"/>
      <c r="C557" s="42"/>
    </row>
    <row r="558">
      <c r="A558" s="42"/>
      <c r="B558" s="42"/>
      <c r="C558" s="42"/>
    </row>
    <row r="559">
      <c r="A559" s="42"/>
      <c r="B559" s="42"/>
      <c r="C559" s="42"/>
    </row>
    <row r="560">
      <c r="A560" s="42"/>
      <c r="B560" s="42"/>
      <c r="C560" s="42"/>
    </row>
    <row r="561">
      <c r="A561" s="42"/>
      <c r="B561" s="42"/>
      <c r="C561" s="42"/>
    </row>
    <row r="562">
      <c r="A562" s="42"/>
      <c r="B562" s="42"/>
      <c r="C562" s="42"/>
    </row>
    <row r="563">
      <c r="A563" s="42"/>
      <c r="B563" s="42"/>
      <c r="C563" s="42"/>
    </row>
    <row r="564">
      <c r="A564" s="42"/>
      <c r="B564" s="42"/>
      <c r="C564" s="42"/>
    </row>
    <row r="565">
      <c r="A565" s="42"/>
      <c r="B565" s="42"/>
      <c r="C565" s="42"/>
    </row>
    <row r="566">
      <c r="A566" s="42"/>
      <c r="B566" s="42"/>
      <c r="C566" s="42"/>
    </row>
    <row r="567">
      <c r="A567" s="42"/>
      <c r="B567" s="42"/>
      <c r="C567" s="42"/>
    </row>
    <row r="568">
      <c r="A568" s="42"/>
      <c r="B568" s="42"/>
      <c r="C568" s="42"/>
    </row>
    <row r="569">
      <c r="A569" s="42"/>
      <c r="B569" s="42"/>
      <c r="C569" s="42"/>
    </row>
    <row r="570">
      <c r="A570" s="42"/>
      <c r="B570" s="42"/>
      <c r="C570" s="42"/>
    </row>
    <row r="571">
      <c r="A571" s="42"/>
      <c r="B571" s="42"/>
      <c r="C571" s="42"/>
    </row>
    <row r="572">
      <c r="A572" s="42"/>
      <c r="B572" s="42"/>
      <c r="C572" s="42"/>
    </row>
    <row r="573">
      <c r="A573" s="42"/>
      <c r="B573" s="42"/>
      <c r="C573" s="42"/>
    </row>
    <row r="574">
      <c r="A574" s="42"/>
      <c r="B574" s="42"/>
      <c r="C574" s="42"/>
    </row>
    <row r="575">
      <c r="A575" s="42"/>
      <c r="B575" s="42"/>
      <c r="C575" s="42"/>
    </row>
    <row r="576">
      <c r="A576" s="42"/>
      <c r="B576" s="42"/>
      <c r="C576" s="42"/>
    </row>
    <row r="577">
      <c r="A577" s="42"/>
      <c r="B577" s="42"/>
      <c r="C577" s="42"/>
    </row>
    <row r="578">
      <c r="A578" s="42"/>
      <c r="B578" s="42"/>
      <c r="C578" s="42"/>
    </row>
    <row r="579">
      <c r="A579" s="42"/>
      <c r="B579" s="42"/>
      <c r="C579" s="42"/>
    </row>
    <row r="580">
      <c r="A580" s="42"/>
      <c r="B580" s="42"/>
      <c r="C580" s="42"/>
    </row>
    <row r="581">
      <c r="A581" s="42"/>
      <c r="B581" s="42"/>
      <c r="C581" s="42"/>
    </row>
    <row r="582">
      <c r="A582" s="42"/>
      <c r="B582" s="42"/>
      <c r="C582" s="42"/>
    </row>
    <row r="583">
      <c r="A583" s="42"/>
      <c r="B583" s="42"/>
      <c r="C583" s="42"/>
    </row>
    <row r="584">
      <c r="A584" s="42"/>
      <c r="B584" s="42"/>
      <c r="C584" s="42"/>
    </row>
    <row r="585">
      <c r="A585" s="42"/>
      <c r="B585" s="42"/>
      <c r="C585" s="42"/>
    </row>
    <row r="586">
      <c r="A586" s="42"/>
      <c r="B586" s="42"/>
      <c r="C586" s="42"/>
    </row>
    <row r="587">
      <c r="A587" s="42"/>
      <c r="B587" s="42"/>
      <c r="C587" s="42"/>
    </row>
    <row r="588">
      <c r="A588" s="42"/>
      <c r="B588" s="42"/>
      <c r="C588" s="42"/>
    </row>
    <row r="589">
      <c r="A589" s="42"/>
      <c r="B589" s="42"/>
      <c r="C589" s="42"/>
    </row>
    <row r="590">
      <c r="A590" s="42"/>
      <c r="B590" s="42"/>
      <c r="C590" s="42"/>
    </row>
    <row r="591">
      <c r="A591" s="42"/>
      <c r="B591" s="42"/>
      <c r="C591" s="42"/>
    </row>
    <row r="592">
      <c r="A592" s="42"/>
      <c r="B592" s="42"/>
      <c r="C592" s="42"/>
    </row>
    <row r="593">
      <c r="A593" s="42"/>
      <c r="B593" s="42"/>
      <c r="C593" s="42"/>
    </row>
    <row r="594">
      <c r="A594" s="42"/>
      <c r="B594" s="42"/>
      <c r="C594" s="42"/>
    </row>
    <row r="595">
      <c r="A595" s="42"/>
      <c r="B595" s="42"/>
      <c r="C595" s="42"/>
    </row>
    <row r="596">
      <c r="A596" s="42"/>
      <c r="B596" s="42"/>
      <c r="C596" s="42"/>
    </row>
    <row r="597">
      <c r="A597" s="42"/>
      <c r="B597" s="42"/>
      <c r="C597" s="42"/>
    </row>
    <row r="598">
      <c r="A598" s="42"/>
      <c r="B598" s="42"/>
      <c r="C598" s="42"/>
    </row>
    <row r="599">
      <c r="A599" s="42"/>
      <c r="B599" s="42"/>
      <c r="C599" s="42"/>
    </row>
    <row r="600">
      <c r="A600" s="42"/>
      <c r="B600" s="42"/>
      <c r="C600" s="42"/>
    </row>
    <row r="601">
      <c r="A601" s="42"/>
      <c r="B601" s="42"/>
      <c r="C601" s="42"/>
    </row>
    <row r="602">
      <c r="A602" s="42"/>
      <c r="B602" s="42"/>
      <c r="C602" s="42"/>
    </row>
    <row r="603">
      <c r="A603" s="42"/>
      <c r="B603" s="42"/>
      <c r="C603" s="42"/>
    </row>
    <row r="604">
      <c r="A604" s="42"/>
      <c r="B604" s="42"/>
      <c r="C604" s="42"/>
    </row>
    <row r="605">
      <c r="A605" s="42"/>
      <c r="B605" s="42"/>
      <c r="C605" s="42"/>
    </row>
    <row r="606">
      <c r="A606" s="42"/>
      <c r="B606" s="42"/>
      <c r="C606" s="42"/>
    </row>
    <row r="607">
      <c r="A607" s="42"/>
      <c r="B607" s="42"/>
      <c r="C607" s="42"/>
    </row>
    <row r="608">
      <c r="A608" s="42"/>
      <c r="B608" s="42"/>
      <c r="C608" s="42"/>
    </row>
    <row r="609">
      <c r="A609" s="42"/>
      <c r="B609" s="42"/>
      <c r="C609" s="42"/>
    </row>
    <row r="610">
      <c r="A610" s="42"/>
      <c r="B610" s="42"/>
      <c r="C610" s="42"/>
    </row>
    <row r="611">
      <c r="A611" s="42"/>
      <c r="B611" s="42"/>
      <c r="C611" s="42"/>
    </row>
    <row r="612">
      <c r="A612" s="42"/>
      <c r="B612" s="42"/>
      <c r="C612" s="42"/>
    </row>
    <row r="613">
      <c r="A613" s="42"/>
      <c r="B613" s="42"/>
      <c r="C613" s="42"/>
    </row>
    <row r="614">
      <c r="A614" s="42"/>
      <c r="B614" s="42"/>
      <c r="C614" s="42"/>
    </row>
    <row r="615">
      <c r="A615" s="42"/>
      <c r="B615" s="42"/>
      <c r="C615" s="42"/>
    </row>
    <row r="616">
      <c r="A616" s="42"/>
      <c r="B616" s="42"/>
      <c r="C616" s="42"/>
    </row>
    <row r="617">
      <c r="A617" s="42"/>
      <c r="B617" s="42"/>
      <c r="C617" s="42"/>
    </row>
    <row r="618">
      <c r="A618" s="42"/>
      <c r="B618" s="42"/>
      <c r="C618" s="42"/>
    </row>
    <row r="619">
      <c r="A619" s="42"/>
      <c r="B619" s="42"/>
      <c r="C619" s="42"/>
    </row>
    <row r="620">
      <c r="A620" s="42"/>
      <c r="B620" s="42"/>
      <c r="C620" s="42"/>
    </row>
    <row r="621">
      <c r="A621" s="42"/>
      <c r="B621" s="42"/>
      <c r="C621" s="42"/>
    </row>
    <row r="622">
      <c r="A622" s="42"/>
      <c r="B622" s="42"/>
      <c r="C622" s="42"/>
    </row>
    <row r="623">
      <c r="A623" s="42"/>
      <c r="B623" s="42"/>
      <c r="C623" s="42"/>
    </row>
    <row r="624">
      <c r="A624" s="42"/>
      <c r="B624" s="42"/>
      <c r="C624" s="42"/>
    </row>
    <row r="625">
      <c r="A625" s="42"/>
      <c r="B625" s="42"/>
      <c r="C625" s="42"/>
    </row>
    <row r="626">
      <c r="A626" s="42"/>
      <c r="B626" s="42"/>
      <c r="C626" s="42"/>
    </row>
    <row r="627">
      <c r="A627" s="42"/>
      <c r="B627" s="42"/>
      <c r="C627" s="42"/>
    </row>
    <row r="628">
      <c r="A628" s="42"/>
      <c r="B628" s="42"/>
      <c r="C628" s="42"/>
    </row>
    <row r="629">
      <c r="A629" s="42"/>
      <c r="B629" s="42"/>
      <c r="C629" s="42"/>
    </row>
    <row r="630">
      <c r="A630" s="42"/>
      <c r="B630" s="42"/>
      <c r="C630" s="42"/>
    </row>
    <row r="631">
      <c r="A631" s="42"/>
      <c r="B631" s="42"/>
      <c r="C631" s="42"/>
    </row>
    <row r="632">
      <c r="A632" s="42"/>
      <c r="B632" s="42"/>
      <c r="C632" s="42"/>
    </row>
    <row r="633">
      <c r="A633" s="42"/>
      <c r="B633" s="42"/>
      <c r="C633" s="42"/>
    </row>
    <row r="634">
      <c r="A634" s="42"/>
      <c r="B634" s="42"/>
      <c r="C634" s="42"/>
    </row>
    <row r="635">
      <c r="A635" s="42"/>
      <c r="B635" s="42"/>
      <c r="C635" s="42"/>
    </row>
    <row r="636">
      <c r="A636" s="42"/>
      <c r="B636" s="42"/>
      <c r="C636" s="42"/>
    </row>
    <row r="637">
      <c r="A637" s="42"/>
      <c r="B637" s="42"/>
      <c r="C637" s="42"/>
    </row>
    <row r="638">
      <c r="A638" s="42"/>
      <c r="B638" s="42"/>
      <c r="C638" s="42"/>
    </row>
    <row r="639">
      <c r="A639" s="42"/>
      <c r="B639" s="42"/>
      <c r="C639" s="42"/>
    </row>
    <row r="640">
      <c r="A640" s="42"/>
      <c r="B640" s="42"/>
      <c r="C640" s="42"/>
    </row>
    <row r="641">
      <c r="A641" s="42"/>
      <c r="B641" s="42"/>
      <c r="C641" s="42"/>
    </row>
    <row r="642">
      <c r="A642" s="42"/>
      <c r="B642" s="42"/>
      <c r="C642" s="42"/>
    </row>
    <row r="643">
      <c r="A643" s="42"/>
      <c r="B643" s="42"/>
      <c r="C643" s="42"/>
    </row>
    <row r="644">
      <c r="A644" s="42"/>
      <c r="B644" s="42"/>
      <c r="C644" s="42"/>
    </row>
    <row r="645">
      <c r="A645" s="42"/>
      <c r="B645" s="42"/>
      <c r="C645" s="42"/>
    </row>
    <row r="646">
      <c r="A646" s="42"/>
      <c r="B646" s="42"/>
      <c r="C646" s="42"/>
    </row>
    <row r="647">
      <c r="A647" s="42"/>
      <c r="B647" s="42"/>
      <c r="C647" s="42"/>
    </row>
    <row r="648">
      <c r="A648" s="42"/>
      <c r="B648" s="42"/>
      <c r="C648" s="42"/>
    </row>
    <row r="649">
      <c r="A649" s="42"/>
      <c r="B649" s="42"/>
      <c r="C649" s="42"/>
    </row>
    <row r="650">
      <c r="A650" s="42"/>
      <c r="B650" s="42"/>
      <c r="C650" s="42"/>
    </row>
    <row r="651">
      <c r="A651" s="42"/>
      <c r="B651" s="42"/>
      <c r="C651" s="42"/>
    </row>
    <row r="652">
      <c r="A652" s="42"/>
      <c r="B652" s="42"/>
      <c r="C652" s="42"/>
    </row>
    <row r="653">
      <c r="A653" s="42"/>
      <c r="B653" s="42"/>
      <c r="C653" s="42"/>
    </row>
    <row r="654">
      <c r="A654" s="42"/>
      <c r="B654" s="42"/>
      <c r="C654" s="42"/>
    </row>
    <row r="655">
      <c r="A655" s="42"/>
      <c r="B655" s="42"/>
      <c r="C655" s="42"/>
    </row>
    <row r="656">
      <c r="A656" s="42"/>
      <c r="B656" s="42"/>
      <c r="C656" s="42"/>
    </row>
    <row r="657">
      <c r="A657" s="42"/>
      <c r="B657" s="42"/>
      <c r="C657" s="42"/>
    </row>
    <row r="658">
      <c r="A658" s="42"/>
      <c r="B658" s="42"/>
      <c r="C658" s="42"/>
    </row>
    <row r="659">
      <c r="A659" s="42"/>
      <c r="B659" s="42"/>
      <c r="C659" s="42"/>
    </row>
    <row r="660">
      <c r="A660" s="42"/>
      <c r="B660" s="42"/>
      <c r="C660" s="42"/>
    </row>
    <row r="661">
      <c r="A661" s="42"/>
      <c r="B661" s="42"/>
      <c r="C661" s="42"/>
    </row>
    <row r="662">
      <c r="A662" s="42"/>
      <c r="B662" s="42"/>
      <c r="C662" s="42"/>
    </row>
    <row r="663">
      <c r="A663" s="42"/>
      <c r="B663" s="42"/>
      <c r="C663" s="42"/>
    </row>
    <row r="664">
      <c r="A664" s="42"/>
      <c r="B664" s="42"/>
      <c r="C664" s="42"/>
    </row>
    <row r="665">
      <c r="A665" s="42"/>
      <c r="B665" s="42"/>
      <c r="C665" s="42"/>
    </row>
    <row r="666">
      <c r="A666" s="42"/>
      <c r="B666" s="42"/>
      <c r="C666" s="42"/>
    </row>
    <row r="667">
      <c r="A667" s="42"/>
      <c r="B667" s="42"/>
      <c r="C667" s="42"/>
    </row>
    <row r="668">
      <c r="A668" s="42"/>
      <c r="B668" s="42"/>
      <c r="C668" s="42"/>
    </row>
    <row r="669">
      <c r="A669" s="42"/>
      <c r="B669" s="42"/>
      <c r="C669" s="42"/>
    </row>
    <row r="670">
      <c r="A670" s="42"/>
      <c r="B670" s="42"/>
      <c r="C670" s="42"/>
    </row>
    <row r="671">
      <c r="A671" s="42"/>
      <c r="B671" s="42"/>
      <c r="C671" s="42"/>
    </row>
    <row r="672">
      <c r="A672" s="42"/>
      <c r="B672" s="42"/>
      <c r="C672" s="42"/>
    </row>
    <row r="673">
      <c r="A673" s="42"/>
      <c r="B673" s="42"/>
      <c r="C673" s="42"/>
    </row>
    <row r="674">
      <c r="A674" s="42"/>
      <c r="B674" s="42"/>
      <c r="C674" s="42"/>
    </row>
    <row r="675">
      <c r="A675" s="42"/>
      <c r="B675" s="42"/>
      <c r="C675" s="42"/>
    </row>
    <row r="676">
      <c r="A676" s="42"/>
      <c r="B676" s="42"/>
      <c r="C676" s="42"/>
    </row>
    <row r="677">
      <c r="A677" s="42"/>
      <c r="B677" s="42"/>
      <c r="C677" s="42"/>
    </row>
    <row r="678">
      <c r="A678" s="42"/>
      <c r="B678" s="42"/>
      <c r="C678" s="42"/>
    </row>
    <row r="679">
      <c r="A679" s="42"/>
      <c r="B679" s="42"/>
      <c r="C679" s="42"/>
    </row>
    <row r="680">
      <c r="A680" s="42"/>
      <c r="B680" s="42"/>
      <c r="C680" s="42"/>
    </row>
    <row r="681">
      <c r="A681" s="42"/>
      <c r="B681" s="42"/>
      <c r="C681" s="42"/>
    </row>
    <row r="682">
      <c r="A682" s="42"/>
      <c r="B682" s="42"/>
      <c r="C682" s="42"/>
    </row>
    <row r="683">
      <c r="A683" s="42"/>
      <c r="B683" s="42"/>
      <c r="C683" s="42"/>
    </row>
    <row r="684">
      <c r="A684" s="42"/>
      <c r="B684" s="42"/>
      <c r="C684" s="42"/>
    </row>
    <row r="685">
      <c r="A685" s="42"/>
      <c r="B685" s="42"/>
      <c r="C685" s="42"/>
    </row>
    <row r="686">
      <c r="A686" s="42"/>
      <c r="B686" s="42"/>
      <c r="C686" s="42"/>
    </row>
    <row r="687">
      <c r="A687" s="42"/>
      <c r="B687" s="42"/>
      <c r="C687" s="42"/>
    </row>
    <row r="688">
      <c r="A688" s="42"/>
      <c r="B688" s="42"/>
      <c r="C688" s="42"/>
    </row>
    <row r="689">
      <c r="A689" s="42"/>
      <c r="B689" s="42"/>
      <c r="C689" s="42"/>
    </row>
    <row r="690">
      <c r="A690" s="42"/>
      <c r="B690" s="42"/>
      <c r="C690" s="42"/>
    </row>
    <row r="691">
      <c r="A691" s="42"/>
      <c r="B691" s="42"/>
      <c r="C691" s="42"/>
    </row>
    <row r="692">
      <c r="A692" s="42"/>
      <c r="B692" s="42"/>
      <c r="C692" s="42"/>
    </row>
    <row r="693">
      <c r="A693" s="42"/>
      <c r="B693" s="42"/>
      <c r="C693" s="42"/>
    </row>
    <row r="694">
      <c r="A694" s="42"/>
      <c r="B694" s="42"/>
      <c r="C694" s="42"/>
    </row>
    <row r="695">
      <c r="A695" s="42"/>
      <c r="B695" s="42"/>
      <c r="C695" s="42"/>
    </row>
    <row r="696">
      <c r="A696" s="42"/>
      <c r="B696" s="42"/>
      <c r="C696" s="42"/>
    </row>
    <row r="697">
      <c r="A697" s="42"/>
      <c r="B697" s="42"/>
      <c r="C697" s="42"/>
    </row>
    <row r="698">
      <c r="A698" s="42"/>
      <c r="B698" s="42"/>
      <c r="C698" s="42"/>
    </row>
    <row r="699">
      <c r="A699" s="42"/>
      <c r="B699" s="42"/>
      <c r="C699" s="42"/>
    </row>
    <row r="700">
      <c r="A700" s="42"/>
      <c r="B700" s="42"/>
      <c r="C700" s="42"/>
    </row>
    <row r="701">
      <c r="A701" s="42"/>
      <c r="B701" s="42"/>
      <c r="C701" s="42"/>
    </row>
    <row r="702">
      <c r="A702" s="42"/>
      <c r="B702" s="42"/>
      <c r="C702" s="42"/>
    </row>
    <row r="703">
      <c r="A703" s="42"/>
      <c r="B703" s="42"/>
      <c r="C703" s="42"/>
    </row>
    <row r="704">
      <c r="A704" s="42"/>
      <c r="B704" s="42"/>
      <c r="C704" s="42"/>
    </row>
    <row r="705">
      <c r="A705" s="42"/>
      <c r="B705" s="42"/>
      <c r="C705" s="42"/>
    </row>
    <row r="706">
      <c r="A706" s="42"/>
      <c r="B706" s="42"/>
      <c r="C706" s="42"/>
    </row>
    <row r="707">
      <c r="A707" s="42"/>
      <c r="B707" s="42"/>
      <c r="C707" s="42"/>
    </row>
    <row r="708">
      <c r="A708" s="42"/>
      <c r="B708" s="42"/>
      <c r="C708" s="42"/>
    </row>
    <row r="709">
      <c r="A709" s="42"/>
      <c r="B709" s="42"/>
      <c r="C709" s="42"/>
    </row>
    <row r="710">
      <c r="A710" s="42"/>
      <c r="B710" s="42"/>
      <c r="C710" s="42"/>
    </row>
    <row r="711">
      <c r="A711" s="42"/>
      <c r="B711" s="42"/>
      <c r="C711" s="42"/>
    </row>
    <row r="712">
      <c r="A712" s="42"/>
      <c r="B712" s="42"/>
      <c r="C712" s="42"/>
    </row>
    <row r="713">
      <c r="A713" s="42"/>
      <c r="B713" s="42"/>
      <c r="C713" s="42"/>
    </row>
    <row r="714">
      <c r="A714" s="42"/>
      <c r="B714" s="42"/>
      <c r="C714" s="42"/>
    </row>
    <row r="715">
      <c r="A715" s="42"/>
      <c r="B715" s="42"/>
      <c r="C715" s="42"/>
    </row>
    <row r="716">
      <c r="A716" s="42"/>
      <c r="B716" s="42"/>
      <c r="C716" s="42"/>
    </row>
    <row r="717">
      <c r="A717" s="42"/>
      <c r="B717" s="42"/>
      <c r="C717" s="42"/>
    </row>
    <row r="718">
      <c r="A718" s="42"/>
      <c r="B718" s="42"/>
      <c r="C718" s="42"/>
    </row>
    <row r="719">
      <c r="A719" s="42"/>
      <c r="B719" s="42"/>
      <c r="C719" s="42"/>
    </row>
    <row r="720">
      <c r="A720" s="42"/>
      <c r="B720" s="42"/>
      <c r="C720" s="42"/>
    </row>
    <row r="721">
      <c r="A721" s="42"/>
      <c r="B721" s="42"/>
      <c r="C721" s="42"/>
    </row>
    <row r="722">
      <c r="A722" s="42"/>
      <c r="B722" s="42"/>
      <c r="C722" s="42"/>
    </row>
    <row r="723">
      <c r="A723" s="42"/>
      <c r="B723" s="42"/>
      <c r="C723" s="42"/>
    </row>
    <row r="724">
      <c r="A724" s="42"/>
      <c r="B724" s="42"/>
      <c r="C724" s="42"/>
    </row>
    <row r="725">
      <c r="A725" s="42"/>
      <c r="B725" s="42"/>
      <c r="C725" s="42"/>
    </row>
    <row r="726">
      <c r="A726" s="42"/>
      <c r="B726" s="42"/>
      <c r="C726" s="42"/>
    </row>
    <row r="727">
      <c r="A727" s="42"/>
      <c r="B727" s="42"/>
      <c r="C727" s="42"/>
    </row>
    <row r="728">
      <c r="A728" s="42"/>
      <c r="B728" s="42"/>
      <c r="C728" s="42"/>
    </row>
    <row r="729">
      <c r="A729" s="42"/>
      <c r="B729" s="42"/>
      <c r="C729" s="42"/>
    </row>
    <row r="730">
      <c r="A730" s="42"/>
      <c r="B730" s="42"/>
      <c r="C730" s="42"/>
    </row>
    <row r="731">
      <c r="A731" s="42"/>
      <c r="B731" s="42"/>
      <c r="C731" s="42"/>
    </row>
    <row r="732">
      <c r="A732" s="42"/>
      <c r="B732" s="42"/>
      <c r="C732" s="42"/>
    </row>
    <row r="733">
      <c r="A733" s="42"/>
      <c r="B733" s="42"/>
      <c r="C733" s="42"/>
    </row>
    <row r="734">
      <c r="A734" s="42"/>
      <c r="B734" s="42"/>
      <c r="C734" s="42"/>
    </row>
    <row r="735">
      <c r="A735" s="42"/>
      <c r="B735" s="42"/>
      <c r="C735" s="42"/>
    </row>
    <row r="736">
      <c r="A736" s="42"/>
      <c r="B736" s="42"/>
      <c r="C736" s="42"/>
    </row>
    <row r="737">
      <c r="A737" s="42"/>
      <c r="B737" s="42"/>
      <c r="C737" s="42"/>
    </row>
    <row r="738">
      <c r="A738" s="42"/>
      <c r="B738" s="42"/>
      <c r="C738" s="42"/>
    </row>
    <row r="739">
      <c r="A739" s="42"/>
      <c r="B739" s="42"/>
      <c r="C739" s="42"/>
    </row>
    <row r="740">
      <c r="A740" s="42"/>
      <c r="B740" s="42"/>
      <c r="C740" s="42"/>
    </row>
    <row r="741">
      <c r="A741" s="42"/>
      <c r="B741" s="42"/>
      <c r="C741" s="42"/>
    </row>
    <row r="742">
      <c r="A742" s="42"/>
      <c r="B742" s="42"/>
      <c r="C742" s="42"/>
    </row>
    <row r="743">
      <c r="A743" s="42"/>
      <c r="B743" s="42"/>
      <c r="C743" s="42"/>
    </row>
    <row r="744">
      <c r="A744" s="42"/>
      <c r="B744" s="42"/>
      <c r="C744" s="42"/>
    </row>
    <row r="745">
      <c r="A745" s="42"/>
      <c r="B745" s="42"/>
      <c r="C745" s="42"/>
    </row>
    <row r="746">
      <c r="A746" s="42"/>
      <c r="B746" s="42"/>
      <c r="C746" s="42"/>
    </row>
    <row r="747">
      <c r="A747" s="42"/>
      <c r="B747" s="42"/>
      <c r="C747" s="42"/>
    </row>
    <row r="748">
      <c r="A748" s="42"/>
      <c r="B748" s="42"/>
      <c r="C748" s="42"/>
    </row>
    <row r="749">
      <c r="A749" s="42"/>
      <c r="B749" s="42"/>
      <c r="C749" s="42"/>
    </row>
    <row r="750">
      <c r="A750" s="42"/>
      <c r="B750" s="42"/>
      <c r="C750" s="42"/>
    </row>
    <row r="751">
      <c r="A751" s="42"/>
      <c r="B751" s="42"/>
      <c r="C751" s="42"/>
    </row>
    <row r="752">
      <c r="A752" s="42"/>
      <c r="B752" s="42"/>
      <c r="C752" s="42"/>
    </row>
    <row r="753">
      <c r="A753" s="42"/>
      <c r="B753" s="42"/>
      <c r="C753" s="42"/>
    </row>
    <row r="754">
      <c r="A754" s="42"/>
      <c r="B754" s="42"/>
      <c r="C754" s="42"/>
    </row>
    <row r="755">
      <c r="A755" s="42"/>
      <c r="B755" s="42"/>
      <c r="C755" s="42"/>
    </row>
    <row r="756">
      <c r="A756" s="42"/>
      <c r="B756" s="42"/>
      <c r="C756" s="42"/>
    </row>
    <row r="757">
      <c r="A757" s="42"/>
      <c r="B757" s="42"/>
      <c r="C757" s="42"/>
    </row>
    <row r="758">
      <c r="A758" s="42"/>
      <c r="B758" s="42"/>
      <c r="C758" s="42"/>
    </row>
    <row r="759">
      <c r="A759" s="42"/>
      <c r="B759" s="42"/>
      <c r="C759" s="42"/>
    </row>
    <row r="760">
      <c r="A760" s="42"/>
      <c r="B760" s="42"/>
      <c r="C760" s="42"/>
    </row>
    <row r="761">
      <c r="A761" s="42"/>
      <c r="B761" s="42"/>
      <c r="C761" s="42"/>
    </row>
    <row r="762">
      <c r="A762" s="42"/>
      <c r="B762" s="42"/>
      <c r="C762" s="42"/>
    </row>
    <row r="763">
      <c r="A763" s="42"/>
      <c r="B763" s="42"/>
      <c r="C763" s="42"/>
    </row>
    <row r="764">
      <c r="A764" s="42"/>
      <c r="B764" s="42"/>
      <c r="C764" s="42"/>
    </row>
    <row r="765">
      <c r="A765" s="42"/>
      <c r="B765" s="42"/>
      <c r="C765" s="42"/>
    </row>
    <row r="766">
      <c r="A766" s="42"/>
      <c r="B766" s="42"/>
      <c r="C766" s="42"/>
    </row>
    <row r="767">
      <c r="A767" s="42"/>
      <c r="B767" s="42"/>
      <c r="C767" s="42"/>
    </row>
    <row r="768">
      <c r="A768" s="42"/>
      <c r="B768" s="42"/>
      <c r="C768" s="42"/>
    </row>
    <row r="769">
      <c r="A769" s="42"/>
      <c r="B769" s="42"/>
      <c r="C769" s="42"/>
    </row>
    <row r="770">
      <c r="A770" s="42"/>
      <c r="B770" s="42"/>
      <c r="C770" s="42"/>
    </row>
    <row r="771">
      <c r="A771" s="42"/>
      <c r="B771" s="42"/>
      <c r="C771" s="42"/>
    </row>
    <row r="772">
      <c r="A772" s="42"/>
      <c r="B772" s="42"/>
      <c r="C772" s="42"/>
    </row>
    <row r="773">
      <c r="A773" s="42"/>
      <c r="B773" s="42"/>
      <c r="C773" s="42"/>
    </row>
    <row r="774">
      <c r="A774" s="42"/>
      <c r="B774" s="42"/>
      <c r="C774" s="42"/>
    </row>
    <row r="775">
      <c r="A775" s="42"/>
      <c r="B775" s="42"/>
      <c r="C775" s="42"/>
    </row>
    <row r="776">
      <c r="A776" s="42"/>
      <c r="B776" s="42"/>
      <c r="C776" s="42"/>
    </row>
    <row r="777">
      <c r="A777" s="42"/>
      <c r="B777" s="42"/>
      <c r="C777" s="42"/>
    </row>
    <row r="778">
      <c r="A778" s="42"/>
      <c r="B778" s="42"/>
      <c r="C778" s="42"/>
    </row>
    <row r="779">
      <c r="A779" s="42"/>
      <c r="B779" s="42"/>
      <c r="C779" s="42"/>
    </row>
    <row r="780">
      <c r="A780" s="42"/>
      <c r="B780" s="42"/>
      <c r="C780" s="42"/>
    </row>
    <row r="781">
      <c r="A781" s="42"/>
      <c r="B781" s="42"/>
      <c r="C781" s="42"/>
    </row>
    <row r="782">
      <c r="A782" s="42"/>
      <c r="B782" s="42"/>
      <c r="C782" s="42"/>
    </row>
    <row r="783">
      <c r="A783" s="42"/>
      <c r="B783" s="42"/>
      <c r="C783" s="42"/>
    </row>
    <row r="784">
      <c r="A784" s="42"/>
      <c r="B784" s="42"/>
      <c r="C784" s="42"/>
    </row>
    <row r="785">
      <c r="A785" s="42"/>
      <c r="B785" s="42"/>
      <c r="C785" s="42"/>
    </row>
    <row r="786">
      <c r="A786" s="42"/>
      <c r="B786" s="42"/>
      <c r="C786" s="42"/>
    </row>
    <row r="787">
      <c r="A787" s="42"/>
      <c r="B787" s="42"/>
      <c r="C787" s="42"/>
    </row>
    <row r="788">
      <c r="A788" s="42"/>
      <c r="B788" s="42"/>
      <c r="C788" s="42"/>
    </row>
    <row r="789">
      <c r="A789" s="42"/>
      <c r="B789" s="42"/>
      <c r="C789" s="42"/>
    </row>
    <row r="790">
      <c r="A790" s="42"/>
      <c r="B790" s="42"/>
      <c r="C790" s="42"/>
    </row>
    <row r="791">
      <c r="A791" s="42"/>
      <c r="B791" s="42"/>
      <c r="C791" s="42"/>
    </row>
    <row r="792">
      <c r="A792" s="42"/>
      <c r="B792" s="42"/>
      <c r="C792" s="42"/>
    </row>
    <row r="793">
      <c r="A793" s="42"/>
      <c r="B793" s="42"/>
      <c r="C793" s="42"/>
    </row>
    <row r="794">
      <c r="A794" s="42"/>
      <c r="B794" s="42"/>
      <c r="C794" s="42"/>
    </row>
    <row r="795">
      <c r="A795" s="42"/>
      <c r="B795" s="42"/>
      <c r="C795" s="42"/>
    </row>
    <row r="796">
      <c r="A796" s="42"/>
      <c r="B796" s="42"/>
      <c r="C796" s="42"/>
    </row>
    <row r="797">
      <c r="A797" s="42"/>
      <c r="B797" s="42"/>
      <c r="C797" s="42"/>
    </row>
    <row r="798">
      <c r="A798" s="42"/>
      <c r="B798" s="42"/>
      <c r="C798" s="42"/>
    </row>
    <row r="799">
      <c r="A799" s="42"/>
      <c r="B799" s="42"/>
      <c r="C799" s="42"/>
    </row>
    <row r="800">
      <c r="A800" s="42"/>
      <c r="B800" s="42"/>
      <c r="C800" s="42"/>
    </row>
    <row r="801">
      <c r="A801" s="42"/>
      <c r="B801" s="42"/>
      <c r="C801" s="42"/>
    </row>
    <row r="802">
      <c r="A802" s="42"/>
      <c r="B802" s="42"/>
      <c r="C802" s="42"/>
    </row>
    <row r="803">
      <c r="A803" s="42"/>
      <c r="B803" s="42"/>
      <c r="C803" s="42"/>
    </row>
    <row r="804">
      <c r="A804" s="42"/>
      <c r="B804" s="42"/>
      <c r="C804" s="42"/>
    </row>
    <row r="805">
      <c r="A805" s="42"/>
      <c r="B805" s="42"/>
      <c r="C805" s="42"/>
    </row>
    <row r="806">
      <c r="A806" s="42"/>
      <c r="B806" s="42"/>
      <c r="C806" s="42"/>
    </row>
    <row r="807">
      <c r="A807" s="42"/>
      <c r="B807" s="42"/>
      <c r="C807" s="42"/>
    </row>
    <row r="808">
      <c r="A808" s="42"/>
      <c r="B808" s="42"/>
      <c r="C808" s="42"/>
    </row>
    <row r="809">
      <c r="A809" s="42"/>
      <c r="B809" s="42"/>
      <c r="C809" s="42"/>
    </row>
    <row r="810">
      <c r="A810" s="42"/>
      <c r="B810" s="42"/>
      <c r="C810" s="42"/>
    </row>
    <row r="811">
      <c r="A811" s="42"/>
      <c r="B811" s="42"/>
      <c r="C811" s="42"/>
    </row>
    <row r="812">
      <c r="A812" s="42"/>
      <c r="B812" s="42"/>
      <c r="C812" s="42"/>
    </row>
    <row r="813">
      <c r="A813" s="42"/>
      <c r="B813" s="42"/>
      <c r="C813" s="42"/>
    </row>
    <row r="814">
      <c r="A814" s="42"/>
      <c r="B814" s="42"/>
      <c r="C814" s="42"/>
    </row>
    <row r="815">
      <c r="A815" s="42"/>
      <c r="B815" s="42"/>
      <c r="C815" s="42"/>
    </row>
    <row r="816">
      <c r="A816" s="42"/>
      <c r="B816" s="42"/>
      <c r="C816" s="42"/>
    </row>
    <row r="817">
      <c r="A817" s="42"/>
      <c r="B817" s="42"/>
      <c r="C817" s="42"/>
    </row>
    <row r="818">
      <c r="A818" s="42"/>
      <c r="B818" s="42"/>
      <c r="C818" s="42"/>
    </row>
    <row r="819">
      <c r="A819" s="42"/>
      <c r="B819" s="42"/>
      <c r="C819" s="42"/>
    </row>
    <row r="820">
      <c r="A820" s="42"/>
      <c r="B820" s="42"/>
      <c r="C820" s="42"/>
    </row>
    <row r="821">
      <c r="A821" s="42"/>
      <c r="B821" s="42"/>
      <c r="C821" s="42"/>
    </row>
    <row r="822">
      <c r="A822" s="42"/>
      <c r="B822" s="42"/>
      <c r="C822" s="42"/>
    </row>
    <row r="823">
      <c r="A823" s="42"/>
      <c r="B823" s="42"/>
      <c r="C823" s="42"/>
    </row>
    <row r="824">
      <c r="A824" s="42"/>
      <c r="B824" s="42"/>
      <c r="C824" s="42"/>
    </row>
    <row r="825">
      <c r="A825" s="42"/>
      <c r="B825" s="42"/>
      <c r="C825" s="42"/>
    </row>
    <row r="826">
      <c r="A826" s="42"/>
      <c r="B826" s="42"/>
      <c r="C826" s="42"/>
    </row>
    <row r="827">
      <c r="A827" s="42"/>
      <c r="B827" s="42"/>
      <c r="C827" s="42"/>
    </row>
    <row r="828">
      <c r="A828" s="42"/>
      <c r="B828" s="42"/>
      <c r="C828" s="42"/>
    </row>
    <row r="829">
      <c r="A829" s="42"/>
      <c r="B829" s="42"/>
      <c r="C829" s="42"/>
    </row>
    <row r="830">
      <c r="A830" s="42"/>
      <c r="B830" s="42"/>
      <c r="C830" s="42"/>
    </row>
    <row r="831">
      <c r="A831" s="42"/>
      <c r="B831" s="42"/>
      <c r="C831" s="42"/>
    </row>
    <row r="832">
      <c r="A832" s="42"/>
      <c r="B832" s="42"/>
      <c r="C832" s="42"/>
    </row>
    <row r="833">
      <c r="A833" s="42"/>
      <c r="B833" s="42"/>
      <c r="C833" s="42"/>
    </row>
    <row r="834">
      <c r="A834" s="42"/>
      <c r="B834" s="42"/>
      <c r="C834" s="42"/>
    </row>
    <row r="835">
      <c r="A835" s="42"/>
      <c r="B835" s="42"/>
      <c r="C835" s="42"/>
    </row>
    <row r="836">
      <c r="A836" s="42"/>
      <c r="B836" s="42"/>
      <c r="C836" s="42"/>
    </row>
    <row r="837">
      <c r="A837" s="42"/>
      <c r="B837" s="42"/>
      <c r="C837" s="42"/>
    </row>
    <row r="838">
      <c r="A838" s="42"/>
      <c r="B838" s="42"/>
      <c r="C838" s="42"/>
    </row>
    <row r="839">
      <c r="A839" s="42"/>
      <c r="B839" s="42"/>
      <c r="C839" s="42"/>
    </row>
    <row r="840">
      <c r="A840" s="42"/>
      <c r="B840" s="42"/>
      <c r="C840" s="42"/>
    </row>
    <row r="841">
      <c r="A841" s="42"/>
      <c r="B841" s="42"/>
      <c r="C841" s="42"/>
    </row>
    <row r="842">
      <c r="A842" s="42"/>
      <c r="B842" s="42"/>
      <c r="C842" s="42"/>
    </row>
    <row r="843">
      <c r="A843" s="42"/>
      <c r="B843" s="42"/>
      <c r="C843" s="42"/>
    </row>
    <row r="844">
      <c r="A844" s="42"/>
      <c r="B844" s="42"/>
      <c r="C844" s="42"/>
    </row>
    <row r="845">
      <c r="A845" s="42"/>
      <c r="B845" s="42"/>
      <c r="C845" s="42"/>
    </row>
    <row r="846">
      <c r="A846" s="42"/>
      <c r="B846" s="42"/>
      <c r="C846" s="42"/>
    </row>
    <row r="847">
      <c r="A847" s="42"/>
      <c r="B847" s="42"/>
      <c r="C847" s="42"/>
    </row>
    <row r="848">
      <c r="A848" s="42"/>
      <c r="B848" s="42"/>
      <c r="C848" s="42"/>
    </row>
    <row r="849">
      <c r="A849" s="42"/>
      <c r="B849" s="42"/>
      <c r="C849" s="42"/>
    </row>
    <row r="850">
      <c r="A850" s="42"/>
      <c r="B850" s="42"/>
      <c r="C850" s="42"/>
    </row>
    <row r="851">
      <c r="A851" s="42"/>
      <c r="B851" s="42"/>
      <c r="C851" s="42"/>
    </row>
    <row r="852">
      <c r="A852" s="42"/>
      <c r="B852" s="42"/>
      <c r="C852" s="42"/>
    </row>
    <row r="853">
      <c r="A853" s="42"/>
      <c r="B853" s="42"/>
      <c r="C853" s="42"/>
    </row>
    <row r="854">
      <c r="A854" s="42"/>
      <c r="B854" s="42"/>
      <c r="C854" s="42"/>
    </row>
    <row r="855">
      <c r="A855" s="42"/>
      <c r="B855" s="42"/>
      <c r="C855" s="42"/>
    </row>
    <row r="856">
      <c r="A856" s="42"/>
      <c r="B856" s="42"/>
      <c r="C856" s="42"/>
    </row>
    <row r="857">
      <c r="A857" s="42"/>
      <c r="B857" s="42"/>
      <c r="C857" s="42"/>
    </row>
    <row r="858">
      <c r="A858" s="42"/>
      <c r="B858" s="42"/>
      <c r="C858" s="42"/>
    </row>
    <row r="859">
      <c r="A859" s="42"/>
      <c r="B859" s="42"/>
      <c r="C859" s="42"/>
    </row>
    <row r="860">
      <c r="A860" s="42"/>
      <c r="B860" s="42"/>
      <c r="C860" s="42"/>
    </row>
    <row r="861">
      <c r="A861" s="42"/>
      <c r="B861" s="42"/>
      <c r="C861" s="42"/>
    </row>
    <row r="862">
      <c r="A862" s="42"/>
      <c r="B862" s="42"/>
      <c r="C862" s="42"/>
    </row>
    <row r="863">
      <c r="A863" s="42"/>
      <c r="B863" s="42"/>
      <c r="C863" s="42"/>
    </row>
    <row r="864">
      <c r="A864" s="42"/>
      <c r="B864" s="42"/>
      <c r="C864" s="42"/>
    </row>
    <row r="865">
      <c r="A865" s="42"/>
      <c r="B865" s="42"/>
      <c r="C865" s="42"/>
    </row>
    <row r="866">
      <c r="A866" s="42"/>
      <c r="B866" s="42"/>
      <c r="C866" s="42"/>
    </row>
    <row r="867">
      <c r="A867" s="42"/>
      <c r="B867" s="42"/>
      <c r="C867" s="42"/>
    </row>
    <row r="868">
      <c r="A868" s="42"/>
      <c r="B868" s="42"/>
      <c r="C868" s="42"/>
    </row>
    <row r="869">
      <c r="A869" s="42"/>
      <c r="B869" s="42"/>
      <c r="C869" s="42"/>
    </row>
    <row r="870">
      <c r="A870" s="42"/>
      <c r="B870" s="42"/>
      <c r="C870" s="42"/>
    </row>
    <row r="871">
      <c r="A871" s="42"/>
      <c r="B871" s="42"/>
      <c r="C871" s="42"/>
    </row>
    <row r="872">
      <c r="A872" s="42"/>
      <c r="B872" s="42"/>
      <c r="C872" s="42"/>
    </row>
    <row r="873">
      <c r="A873" s="42"/>
      <c r="B873" s="42"/>
      <c r="C873" s="42"/>
    </row>
    <row r="874">
      <c r="A874" s="42"/>
      <c r="B874" s="42"/>
      <c r="C874" s="42"/>
    </row>
    <row r="875">
      <c r="A875" s="42"/>
      <c r="B875" s="42"/>
      <c r="C875" s="42"/>
    </row>
    <row r="876">
      <c r="A876" s="42"/>
      <c r="B876" s="42"/>
      <c r="C876" s="42"/>
    </row>
    <row r="877">
      <c r="A877" s="42"/>
      <c r="B877" s="42"/>
      <c r="C877" s="42"/>
    </row>
    <row r="878">
      <c r="A878" s="42"/>
      <c r="B878" s="42"/>
      <c r="C878" s="42"/>
    </row>
    <row r="879">
      <c r="A879" s="42"/>
      <c r="B879" s="42"/>
      <c r="C879" s="42"/>
    </row>
    <row r="880">
      <c r="A880" s="42"/>
      <c r="B880" s="42"/>
      <c r="C880" s="42"/>
    </row>
    <row r="881">
      <c r="A881" s="42"/>
      <c r="B881" s="42"/>
      <c r="C881" s="42"/>
    </row>
    <row r="882">
      <c r="A882" s="42"/>
      <c r="B882" s="42"/>
      <c r="C882" s="42"/>
    </row>
    <row r="883">
      <c r="A883" s="42"/>
      <c r="B883" s="42"/>
      <c r="C883" s="42"/>
    </row>
    <row r="884">
      <c r="A884" s="42"/>
      <c r="B884" s="42"/>
      <c r="C884" s="42"/>
    </row>
    <row r="885">
      <c r="A885" s="42"/>
      <c r="B885" s="42"/>
      <c r="C885" s="42"/>
    </row>
    <row r="886">
      <c r="A886" s="42"/>
      <c r="B886" s="42"/>
      <c r="C886" s="42"/>
    </row>
    <row r="887">
      <c r="A887" s="42"/>
      <c r="B887" s="42"/>
      <c r="C887" s="42"/>
    </row>
    <row r="888">
      <c r="A888" s="42"/>
      <c r="B888" s="42"/>
      <c r="C888" s="42"/>
    </row>
    <row r="889">
      <c r="A889" s="42"/>
      <c r="B889" s="42"/>
      <c r="C889" s="42"/>
    </row>
    <row r="890">
      <c r="A890" s="42"/>
      <c r="B890" s="42"/>
      <c r="C890" s="42"/>
    </row>
    <row r="891">
      <c r="A891" s="42"/>
      <c r="B891" s="42"/>
      <c r="C891" s="42"/>
    </row>
    <row r="892">
      <c r="A892" s="42"/>
      <c r="B892" s="42"/>
      <c r="C892" s="42"/>
    </row>
    <row r="893">
      <c r="A893" s="42"/>
      <c r="B893" s="42"/>
      <c r="C893" s="42"/>
    </row>
    <row r="894">
      <c r="A894" s="42"/>
      <c r="B894" s="42"/>
      <c r="C894" s="42"/>
    </row>
    <row r="895">
      <c r="A895" s="42"/>
      <c r="B895" s="42"/>
      <c r="C895" s="42"/>
    </row>
    <row r="896">
      <c r="A896" s="42"/>
      <c r="B896" s="42"/>
      <c r="C896" s="42"/>
    </row>
    <row r="897">
      <c r="A897" s="42"/>
      <c r="B897" s="42"/>
      <c r="C897" s="42"/>
    </row>
    <row r="898">
      <c r="A898" s="42"/>
      <c r="B898" s="42"/>
      <c r="C898" s="42"/>
    </row>
    <row r="899">
      <c r="A899" s="42"/>
      <c r="B899" s="42"/>
      <c r="C899" s="42"/>
    </row>
    <row r="900">
      <c r="A900" s="42"/>
      <c r="B900" s="42"/>
      <c r="C900" s="42"/>
    </row>
    <row r="901">
      <c r="A901" s="42"/>
      <c r="B901" s="42"/>
      <c r="C901" s="42"/>
    </row>
    <row r="902">
      <c r="A902" s="42"/>
      <c r="B902" s="42"/>
      <c r="C902" s="42"/>
    </row>
    <row r="903">
      <c r="A903" s="42"/>
      <c r="B903" s="42"/>
      <c r="C903" s="42"/>
    </row>
    <row r="904">
      <c r="A904" s="42"/>
      <c r="B904" s="42"/>
      <c r="C904" s="42"/>
    </row>
    <row r="905">
      <c r="A905" s="42"/>
      <c r="B905" s="42"/>
      <c r="C905" s="42"/>
    </row>
    <row r="906">
      <c r="A906" s="42"/>
      <c r="B906" s="42"/>
      <c r="C906" s="42"/>
    </row>
    <row r="907">
      <c r="A907" s="42"/>
      <c r="B907" s="42"/>
      <c r="C907" s="42"/>
    </row>
    <row r="908">
      <c r="A908" s="42"/>
      <c r="B908" s="42"/>
      <c r="C908" s="42"/>
    </row>
    <row r="909">
      <c r="A909" s="42"/>
      <c r="B909" s="42"/>
      <c r="C909" s="42"/>
    </row>
    <row r="910">
      <c r="A910" s="42"/>
      <c r="B910" s="42"/>
      <c r="C910" s="42"/>
    </row>
    <row r="911">
      <c r="A911" s="42"/>
      <c r="B911" s="42"/>
      <c r="C911" s="42"/>
    </row>
    <row r="912">
      <c r="A912" s="42"/>
      <c r="B912" s="42"/>
      <c r="C912" s="42"/>
    </row>
    <row r="913">
      <c r="A913" s="42"/>
      <c r="B913" s="42"/>
      <c r="C913" s="42"/>
    </row>
    <row r="914">
      <c r="A914" s="42"/>
      <c r="B914" s="42"/>
      <c r="C914" s="42"/>
    </row>
    <row r="915">
      <c r="A915" s="42"/>
      <c r="B915" s="42"/>
      <c r="C915" s="42"/>
    </row>
    <row r="916">
      <c r="A916" s="42"/>
      <c r="B916" s="42"/>
      <c r="C916" s="42"/>
    </row>
    <row r="917">
      <c r="A917" s="42"/>
      <c r="B917" s="42"/>
      <c r="C917" s="42"/>
    </row>
    <row r="918">
      <c r="A918" s="42"/>
      <c r="B918" s="42"/>
      <c r="C918" s="42"/>
    </row>
    <row r="919">
      <c r="A919" s="42"/>
      <c r="B919" s="42"/>
      <c r="C919" s="42"/>
    </row>
    <row r="920">
      <c r="A920" s="42"/>
      <c r="B920" s="42"/>
      <c r="C920" s="42"/>
    </row>
    <row r="921">
      <c r="A921" s="42"/>
      <c r="B921" s="42"/>
      <c r="C921" s="42"/>
    </row>
    <row r="922">
      <c r="A922" s="42"/>
      <c r="B922" s="42"/>
      <c r="C922" s="42"/>
    </row>
    <row r="923">
      <c r="A923" s="42"/>
      <c r="B923" s="42"/>
      <c r="C923" s="42"/>
    </row>
    <row r="924">
      <c r="A924" s="42"/>
      <c r="B924" s="42"/>
      <c r="C924" s="42"/>
    </row>
    <row r="925">
      <c r="A925" s="42"/>
      <c r="B925" s="42"/>
      <c r="C925" s="42"/>
    </row>
    <row r="926">
      <c r="A926" s="42"/>
      <c r="B926" s="42"/>
      <c r="C926" s="42"/>
    </row>
    <row r="927">
      <c r="A927" s="42"/>
      <c r="B927" s="42"/>
      <c r="C927" s="42"/>
    </row>
    <row r="928">
      <c r="A928" s="42"/>
      <c r="B928" s="42"/>
      <c r="C928" s="42"/>
    </row>
    <row r="929">
      <c r="A929" s="42"/>
      <c r="B929" s="42"/>
      <c r="C929" s="42"/>
    </row>
    <row r="930">
      <c r="A930" s="42"/>
      <c r="B930" s="42"/>
      <c r="C930" s="42"/>
    </row>
    <row r="931">
      <c r="A931" s="42"/>
      <c r="B931" s="42"/>
      <c r="C931" s="42"/>
    </row>
    <row r="932">
      <c r="A932" s="42"/>
      <c r="B932" s="42"/>
      <c r="C932" s="42"/>
    </row>
    <row r="933">
      <c r="A933" s="42"/>
      <c r="B933" s="42"/>
      <c r="C933" s="42"/>
    </row>
    <row r="934">
      <c r="A934" s="42"/>
      <c r="B934" s="42"/>
      <c r="C934" s="42"/>
    </row>
    <row r="935">
      <c r="A935" s="42"/>
      <c r="B935" s="42"/>
      <c r="C935" s="42"/>
    </row>
    <row r="936">
      <c r="A936" s="42"/>
      <c r="B936" s="42"/>
      <c r="C936" s="42"/>
    </row>
    <row r="937">
      <c r="A937" s="42"/>
      <c r="B937" s="42"/>
      <c r="C937" s="42"/>
    </row>
    <row r="938">
      <c r="A938" s="42"/>
      <c r="B938" s="42"/>
      <c r="C938" s="42"/>
    </row>
    <row r="939">
      <c r="A939" s="42"/>
      <c r="B939" s="42"/>
      <c r="C939" s="42"/>
    </row>
    <row r="940">
      <c r="A940" s="42"/>
      <c r="B940" s="42"/>
      <c r="C940" s="42"/>
    </row>
    <row r="941">
      <c r="A941" s="42"/>
      <c r="B941" s="42"/>
      <c r="C941" s="42"/>
    </row>
    <row r="942">
      <c r="A942" s="42"/>
      <c r="B942" s="42"/>
      <c r="C942" s="42"/>
    </row>
    <row r="943">
      <c r="A943" s="42"/>
      <c r="B943" s="42"/>
      <c r="C943" s="42"/>
    </row>
    <row r="944">
      <c r="A944" s="42"/>
      <c r="B944" s="42"/>
      <c r="C944" s="42"/>
    </row>
    <row r="945">
      <c r="A945" s="42"/>
      <c r="B945" s="42"/>
      <c r="C945" s="42"/>
    </row>
    <row r="946">
      <c r="A946" s="42"/>
      <c r="B946" s="42"/>
      <c r="C946" s="42"/>
    </row>
    <row r="947">
      <c r="A947" s="42"/>
      <c r="B947" s="42"/>
      <c r="C947" s="42"/>
    </row>
    <row r="948">
      <c r="A948" s="42"/>
      <c r="B948" s="42"/>
      <c r="C948" s="42"/>
    </row>
    <row r="949">
      <c r="A949" s="42"/>
      <c r="B949" s="42"/>
      <c r="C949" s="42"/>
    </row>
    <row r="950">
      <c r="A950" s="42"/>
      <c r="B950" s="42"/>
      <c r="C950" s="42"/>
    </row>
    <row r="951">
      <c r="A951" s="42"/>
      <c r="B951" s="42"/>
      <c r="C951" s="42"/>
    </row>
    <row r="952">
      <c r="A952" s="42"/>
      <c r="B952" s="42"/>
      <c r="C952" s="42"/>
    </row>
    <row r="953">
      <c r="A953" s="42"/>
      <c r="B953" s="42"/>
      <c r="C953" s="42"/>
    </row>
    <row r="954">
      <c r="A954" s="42"/>
      <c r="B954" s="42"/>
      <c r="C954" s="42"/>
    </row>
    <row r="955">
      <c r="A955" s="42"/>
      <c r="B955" s="42"/>
      <c r="C955" s="42"/>
    </row>
    <row r="956">
      <c r="A956" s="42"/>
      <c r="B956" s="42"/>
      <c r="C956" s="42"/>
    </row>
    <row r="957">
      <c r="A957" s="42"/>
      <c r="B957" s="42"/>
      <c r="C957" s="42"/>
    </row>
    <row r="958">
      <c r="A958" s="42"/>
      <c r="B958" s="42"/>
      <c r="C958" s="42"/>
    </row>
    <row r="959">
      <c r="A959" s="42"/>
      <c r="B959" s="42"/>
      <c r="C959" s="42"/>
    </row>
    <row r="960">
      <c r="A960" s="42"/>
      <c r="B960" s="42"/>
      <c r="C960" s="42"/>
    </row>
    <row r="961">
      <c r="A961" s="42"/>
      <c r="B961" s="42"/>
      <c r="C961" s="42"/>
    </row>
    <row r="962">
      <c r="A962" s="42"/>
      <c r="B962" s="42"/>
      <c r="C962" s="42"/>
    </row>
    <row r="963">
      <c r="A963" s="42"/>
      <c r="B963" s="42"/>
      <c r="C963" s="42"/>
    </row>
    <row r="964">
      <c r="A964" s="42"/>
      <c r="B964" s="42"/>
      <c r="C964" s="42"/>
    </row>
    <row r="965">
      <c r="A965" s="42"/>
      <c r="B965" s="42"/>
      <c r="C965" s="42"/>
    </row>
    <row r="966">
      <c r="A966" s="42"/>
      <c r="B966" s="42"/>
      <c r="C966" s="42"/>
    </row>
    <row r="967">
      <c r="A967" s="42"/>
      <c r="B967" s="42"/>
      <c r="C967" s="42"/>
    </row>
    <row r="968">
      <c r="A968" s="42"/>
      <c r="B968" s="42"/>
      <c r="C968" s="42"/>
    </row>
    <row r="969">
      <c r="A969" s="42"/>
      <c r="B969" s="42"/>
      <c r="C969" s="42"/>
    </row>
    <row r="970">
      <c r="A970" s="42"/>
      <c r="B970" s="42"/>
      <c r="C970" s="42"/>
    </row>
    <row r="971">
      <c r="A971" s="42"/>
      <c r="B971" s="42"/>
      <c r="C971" s="42"/>
    </row>
    <row r="972">
      <c r="A972" s="42"/>
      <c r="B972" s="42"/>
      <c r="C972" s="42"/>
    </row>
    <row r="973">
      <c r="A973" s="42"/>
      <c r="B973" s="42"/>
      <c r="C973" s="42"/>
    </row>
    <row r="974">
      <c r="A974" s="42"/>
      <c r="B974" s="42"/>
      <c r="C974" s="42"/>
    </row>
    <row r="975">
      <c r="A975" s="42"/>
      <c r="B975" s="42"/>
      <c r="C975" s="42"/>
    </row>
    <row r="976">
      <c r="A976" s="42"/>
      <c r="B976" s="42"/>
      <c r="C976" s="42"/>
    </row>
    <row r="977">
      <c r="A977" s="42"/>
      <c r="B977" s="42"/>
      <c r="C977" s="42"/>
    </row>
    <row r="978">
      <c r="A978" s="42"/>
      <c r="B978" s="42"/>
      <c r="C978" s="42"/>
    </row>
    <row r="979">
      <c r="A979" s="42"/>
      <c r="B979" s="42"/>
      <c r="C979" s="42"/>
    </row>
    <row r="980">
      <c r="A980" s="42"/>
      <c r="B980" s="42"/>
      <c r="C980" s="42"/>
    </row>
    <row r="981">
      <c r="A981" s="42"/>
      <c r="B981" s="42"/>
      <c r="C981" s="42"/>
    </row>
    <row r="982">
      <c r="A982" s="42"/>
      <c r="B982" s="42"/>
      <c r="C982" s="42"/>
    </row>
    <row r="983">
      <c r="A983" s="42"/>
      <c r="B983" s="42"/>
      <c r="C983" s="42"/>
    </row>
    <row r="984">
      <c r="A984" s="42"/>
      <c r="B984" s="42"/>
      <c r="C984" s="42"/>
    </row>
    <row r="985">
      <c r="A985" s="42"/>
      <c r="B985" s="42"/>
      <c r="C985" s="42"/>
    </row>
    <row r="986">
      <c r="A986" s="42"/>
      <c r="B986" s="42"/>
      <c r="C986" s="42"/>
    </row>
    <row r="987">
      <c r="A987" s="42"/>
      <c r="B987" s="42"/>
      <c r="C987" s="42"/>
    </row>
    <row r="988">
      <c r="A988" s="42"/>
      <c r="B988" s="42"/>
      <c r="C988" s="42"/>
    </row>
    <row r="989">
      <c r="A989" s="42"/>
      <c r="B989" s="42"/>
      <c r="C989" s="42"/>
    </row>
    <row r="990">
      <c r="A990" s="42"/>
      <c r="B990" s="42"/>
      <c r="C990" s="42"/>
    </row>
    <row r="991">
      <c r="A991" s="42"/>
      <c r="B991" s="42"/>
      <c r="C991" s="42"/>
    </row>
    <row r="992">
      <c r="A992" s="42"/>
      <c r="B992" s="42"/>
      <c r="C992" s="42"/>
    </row>
    <row r="993">
      <c r="A993" s="42"/>
      <c r="B993" s="42"/>
      <c r="C993" s="42"/>
    </row>
    <row r="994">
      <c r="A994" s="42"/>
      <c r="B994" s="42"/>
      <c r="C994" s="42"/>
    </row>
    <row r="995">
      <c r="A995" s="42"/>
      <c r="B995" s="42"/>
      <c r="C995" s="42"/>
    </row>
    <row r="996">
      <c r="A996" s="42"/>
      <c r="B996" s="42"/>
      <c r="C996" s="42"/>
    </row>
    <row r="997">
      <c r="A997" s="42"/>
      <c r="B997" s="42"/>
      <c r="C997" s="42"/>
    </row>
    <row r="998">
      <c r="A998" s="42"/>
      <c r="B998" s="42"/>
      <c r="C998" s="42"/>
    </row>
    <row r="999">
      <c r="A999" s="42"/>
      <c r="B999" s="42"/>
      <c r="C999" s="42"/>
    </row>
    <row r="1000">
      <c r="A1000" s="42"/>
      <c r="B1000" s="42"/>
      <c r="C1000" s="42"/>
    </row>
  </sheetData>
  <mergeCells count="23">
    <mergeCell ref="A23:A25"/>
    <mergeCell ref="A26:A28"/>
    <mergeCell ref="A29:A31"/>
    <mergeCell ref="A32:A33"/>
    <mergeCell ref="A34:A35"/>
    <mergeCell ref="A36:A37"/>
    <mergeCell ref="A38:A39"/>
    <mergeCell ref="A45:A46"/>
    <mergeCell ref="A47:A48"/>
    <mergeCell ref="A49:A50"/>
    <mergeCell ref="A51:A52"/>
    <mergeCell ref="A53:A54"/>
    <mergeCell ref="A55:A56"/>
    <mergeCell ref="A61:A62"/>
    <mergeCell ref="A87:A88"/>
    <mergeCell ref="A89:A90"/>
    <mergeCell ref="A63:A64"/>
    <mergeCell ref="A65:A66"/>
    <mergeCell ref="A74:A75"/>
    <mergeCell ref="A76:A77"/>
    <mergeCell ref="A78:A79"/>
    <mergeCell ref="A80:A81"/>
    <mergeCell ref="A85:A86"/>
  </mergeCells>
  <dataValidations>
    <dataValidation type="custom" allowBlank="1" showDropDown="1" sqref="C2:C7 E2:E7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63"/>
    <col customWidth="1" min="2" max="2" width="55.5"/>
    <col customWidth="1" min="3" max="3" width="54.5"/>
    <col customWidth="1" min="4" max="4" width="18.88"/>
    <col customWidth="1" min="5" max="5" width="13.38"/>
  </cols>
  <sheetData>
    <row r="1" ht="22.5" customHeight="1">
      <c r="A1" s="20" t="s">
        <v>56</v>
      </c>
      <c r="B1" s="22" t="s">
        <v>13</v>
      </c>
      <c r="C1" s="22" t="s">
        <v>85</v>
      </c>
      <c r="D1" s="22" t="s">
        <v>89</v>
      </c>
      <c r="E1" s="22" t="s">
        <v>96</v>
      </c>
      <c r="F1" s="22" t="s">
        <v>102</v>
      </c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ht="22.5" customHeight="1">
      <c r="A2" s="28">
        <v>1.0</v>
      </c>
      <c r="B2" s="31" t="s">
        <v>117</v>
      </c>
      <c r="C2" s="31" t="s">
        <v>120</v>
      </c>
      <c r="D2" s="31">
        <v>11.0</v>
      </c>
      <c r="E2" s="31" t="s">
        <v>126</v>
      </c>
      <c r="F2" s="31" t="s">
        <v>129</v>
      </c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22.5" customHeight="1">
      <c r="A3" s="28">
        <v>2.0</v>
      </c>
      <c r="B3" s="31" t="s">
        <v>140</v>
      </c>
      <c r="C3" s="31" t="s">
        <v>120</v>
      </c>
      <c r="D3" s="31">
        <v>8.0</v>
      </c>
      <c r="E3" s="31" t="s">
        <v>155</v>
      </c>
      <c r="F3" s="31" t="s">
        <v>129</v>
      </c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22.5" customHeight="1">
      <c r="A4" s="28">
        <v>3.0</v>
      </c>
      <c r="B4" s="31" t="s">
        <v>74</v>
      </c>
      <c r="C4" s="31" t="s">
        <v>178</v>
      </c>
      <c r="D4" s="31">
        <v>7.0</v>
      </c>
      <c r="E4" s="31" t="s">
        <v>183</v>
      </c>
      <c r="F4" s="31" t="s">
        <v>129</v>
      </c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22.5" customHeight="1">
      <c r="A5" s="28">
        <v>4.0</v>
      </c>
      <c r="B5" s="31" t="s">
        <v>193</v>
      </c>
      <c r="C5" s="31" t="s">
        <v>149</v>
      </c>
      <c r="D5" s="31">
        <v>7.0</v>
      </c>
      <c r="E5" s="31" t="s">
        <v>183</v>
      </c>
      <c r="F5" s="31" t="s">
        <v>129</v>
      </c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22.5" customHeight="1">
      <c r="A6" s="28">
        <v>5.0</v>
      </c>
      <c r="B6" s="31" t="s">
        <v>205</v>
      </c>
      <c r="C6" s="31" t="s">
        <v>179</v>
      </c>
      <c r="D6" s="31">
        <v>5.0</v>
      </c>
      <c r="E6" s="31" t="s">
        <v>220</v>
      </c>
      <c r="F6" s="31" t="s">
        <v>129</v>
      </c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22.5" customHeight="1">
      <c r="A7" s="28">
        <v>6.0</v>
      </c>
      <c r="B7" s="31" t="s">
        <v>116</v>
      </c>
      <c r="C7" s="31" t="s">
        <v>232</v>
      </c>
      <c r="D7" s="31">
        <v>5.0</v>
      </c>
      <c r="E7" s="31" t="s">
        <v>220</v>
      </c>
      <c r="F7" s="31" t="s">
        <v>129</v>
      </c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22.5" customHeight="1">
      <c r="A8" s="28">
        <v>7.0</v>
      </c>
      <c r="B8" s="31" t="s">
        <v>70</v>
      </c>
      <c r="C8" s="31" t="s">
        <v>33</v>
      </c>
      <c r="D8" s="31">
        <v>5.0</v>
      </c>
      <c r="E8" s="31" t="s">
        <v>220</v>
      </c>
      <c r="F8" s="31" t="s">
        <v>129</v>
      </c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22.5" customHeight="1">
      <c r="A9" s="28">
        <v>8.0</v>
      </c>
      <c r="B9" s="31" t="s">
        <v>33</v>
      </c>
      <c r="C9" s="31" t="s">
        <v>33</v>
      </c>
      <c r="D9" s="31">
        <v>4.0</v>
      </c>
      <c r="E9" s="31" t="s">
        <v>271</v>
      </c>
      <c r="F9" s="31" t="s">
        <v>273</v>
      </c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22.5" customHeight="1">
      <c r="A10" s="28">
        <v>9.0</v>
      </c>
      <c r="B10" s="31" t="s">
        <v>78</v>
      </c>
      <c r="C10" s="31" t="s">
        <v>149</v>
      </c>
      <c r="D10" s="31">
        <v>4.0</v>
      </c>
      <c r="E10" s="31" t="s">
        <v>271</v>
      </c>
      <c r="F10" s="31" t="s">
        <v>273</v>
      </c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22.5" customHeight="1">
      <c r="A11" s="28">
        <v>10.0</v>
      </c>
      <c r="B11" s="31" t="s">
        <v>145</v>
      </c>
      <c r="C11" s="31" t="s">
        <v>120</v>
      </c>
      <c r="D11" s="31">
        <v>4.0</v>
      </c>
      <c r="E11" s="31" t="s">
        <v>271</v>
      </c>
      <c r="F11" s="31" t="s">
        <v>273</v>
      </c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22.5" customHeight="1">
      <c r="A12" s="28">
        <v>11.0</v>
      </c>
      <c r="B12" s="31" t="s">
        <v>61</v>
      </c>
      <c r="C12" s="31" t="s">
        <v>33</v>
      </c>
      <c r="D12" s="31">
        <v>4.0</v>
      </c>
      <c r="E12" s="31" t="s">
        <v>271</v>
      </c>
      <c r="F12" s="31" t="s">
        <v>273</v>
      </c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22.5" customHeight="1">
      <c r="A13" s="28">
        <v>12.0</v>
      </c>
      <c r="B13" s="31" t="s">
        <v>344</v>
      </c>
      <c r="C13" s="31" t="s">
        <v>178</v>
      </c>
      <c r="D13" s="31">
        <v>3.0</v>
      </c>
      <c r="E13" s="31" t="s">
        <v>351</v>
      </c>
      <c r="F13" s="31" t="s">
        <v>273</v>
      </c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22.5" customHeight="1">
      <c r="A14" s="28">
        <v>13.0</v>
      </c>
      <c r="B14" s="31" t="s">
        <v>92</v>
      </c>
      <c r="C14" s="31" t="s">
        <v>178</v>
      </c>
      <c r="D14" s="31">
        <v>3.0</v>
      </c>
      <c r="E14" s="31" t="s">
        <v>351</v>
      </c>
      <c r="F14" s="31" t="s">
        <v>273</v>
      </c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22.5" customHeight="1">
      <c r="A15" s="28">
        <v>14.0</v>
      </c>
      <c r="B15" s="31" t="s">
        <v>383</v>
      </c>
      <c r="C15" s="31" t="s">
        <v>120</v>
      </c>
      <c r="D15" s="31">
        <v>3.0</v>
      </c>
      <c r="E15" s="31" t="s">
        <v>351</v>
      </c>
      <c r="F15" s="31" t="s">
        <v>273</v>
      </c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22.5" customHeight="1">
      <c r="A16" s="28">
        <v>15.0</v>
      </c>
      <c r="B16" s="31" t="s">
        <v>227</v>
      </c>
      <c r="C16" s="31" t="s">
        <v>179</v>
      </c>
      <c r="D16" s="31">
        <v>3.0</v>
      </c>
      <c r="E16" s="31" t="s">
        <v>351</v>
      </c>
      <c r="F16" s="31" t="s">
        <v>273</v>
      </c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22.5" customHeight="1">
      <c r="A17" s="28">
        <v>16.0</v>
      </c>
      <c r="B17" s="31" t="s">
        <v>416</v>
      </c>
      <c r="C17" s="31" t="s">
        <v>33</v>
      </c>
      <c r="D17" s="31">
        <v>2.0</v>
      </c>
      <c r="E17" s="31" t="s">
        <v>424</v>
      </c>
      <c r="F17" s="31" t="s">
        <v>427</v>
      </c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22.5" customHeight="1">
      <c r="A18" s="28">
        <v>17.0</v>
      </c>
      <c r="B18" s="31" t="s">
        <v>136</v>
      </c>
      <c r="C18" s="31" t="s">
        <v>149</v>
      </c>
      <c r="D18" s="31">
        <v>2.0</v>
      </c>
      <c r="E18" s="31" t="s">
        <v>424</v>
      </c>
      <c r="F18" s="31" t="s">
        <v>427</v>
      </c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22.5" customHeight="1">
      <c r="A19" s="28">
        <v>18.0</v>
      </c>
      <c r="B19" s="31" t="s">
        <v>457</v>
      </c>
      <c r="C19" s="31" t="s">
        <v>232</v>
      </c>
      <c r="D19" s="31">
        <v>2.0</v>
      </c>
      <c r="E19" s="31" t="s">
        <v>424</v>
      </c>
      <c r="F19" s="31" t="s">
        <v>427</v>
      </c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22.5" customHeight="1">
      <c r="A20" s="28">
        <v>19.0</v>
      </c>
      <c r="B20" s="31" t="s">
        <v>469</v>
      </c>
      <c r="C20" s="31" t="s">
        <v>232</v>
      </c>
      <c r="D20" s="31">
        <v>2.0</v>
      </c>
      <c r="E20" s="31" t="s">
        <v>424</v>
      </c>
      <c r="F20" s="31" t="s">
        <v>427</v>
      </c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22.5" customHeight="1">
      <c r="A21" s="28">
        <v>20.0</v>
      </c>
      <c r="B21" s="31" t="s">
        <v>491</v>
      </c>
      <c r="C21" s="31" t="s">
        <v>120</v>
      </c>
      <c r="D21" s="31">
        <v>2.0</v>
      </c>
      <c r="E21" s="31" t="s">
        <v>424</v>
      </c>
      <c r="F21" s="31" t="s">
        <v>427</v>
      </c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22.5" customHeight="1">
      <c r="A22" s="28">
        <v>21.0</v>
      </c>
      <c r="B22" s="31" t="s">
        <v>184</v>
      </c>
      <c r="C22" s="31" t="s">
        <v>179</v>
      </c>
      <c r="D22" s="31">
        <v>2.0</v>
      </c>
      <c r="E22" s="31" t="s">
        <v>424</v>
      </c>
      <c r="F22" s="31" t="s">
        <v>427</v>
      </c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22.5" customHeight="1">
      <c r="A23" s="28">
        <v>22.0</v>
      </c>
      <c r="B23" s="31" t="s">
        <v>259</v>
      </c>
      <c r="C23" s="31" t="s">
        <v>179</v>
      </c>
      <c r="D23" s="31">
        <v>2.0</v>
      </c>
      <c r="E23" s="31" t="s">
        <v>424</v>
      </c>
      <c r="F23" s="31" t="s">
        <v>427</v>
      </c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22.5" customHeight="1">
      <c r="A24" s="28">
        <v>23.0</v>
      </c>
      <c r="B24" s="31" t="s">
        <v>57</v>
      </c>
      <c r="C24" s="31" t="s">
        <v>33</v>
      </c>
      <c r="D24" s="31">
        <v>2.0</v>
      </c>
      <c r="E24" s="31" t="s">
        <v>424</v>
      </c>
      <c r="F24" s="31" t="s">
        <v>427</v>
      </c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22.5" customHeight="1">
      <c r="A25" s="28">
        <v>24.0</v>
      </c>
      <c r="B25" s="31" t="s">
        <v>420</v>
      </c>
      <c r="C25" s="31" t="s">
        <v>149</v>
      </c>
      <c r="D25" s="31">
        <v>1.0</v>
      </c>
      <c r="E25" s="31" t="s">
        <v>572</v>
      </c>
      <c r="F25" s="31" t="s">
        <v>427</v>
      </c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22.5" customHeight="1">
      <c r="A26" s="44"/>
      <c r="B26" s="31" t="s">
        <v>587</v>
      </c>
      <c r="C26" s="45"/>
      <c r="D26" s="31">
        <v>93.0</v>
      </c>
      <c r="E26" s="46">
        <v>1.0</v>
      </c>
      <c r="F26" s="48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>
      <c r="A27" s="49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>
      <c r="A28" s="49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>
      <c r="A29" s="49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>
      <c r="A30" s="49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>
      <c r="A31" s="49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>
      <c r="A32" s="49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>
      <c r="A33" s="49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>
      <c r="A34" s="49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>
      <c r="A35" s="49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>
      <c r="A36" s="49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>
      <c r="A37" s="49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>
      <c r="A38" s="49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>
      <c r="A39" s="49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>
      <c r="A40" s="49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>
      <c r="A41" s="49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>
      <c r="A42" s="49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>
      <c r="A43" s="49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>
      <c r="A44" s="49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>
      <c r="A45" s="49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>
      <c r="A46" s="49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>
      <c r="A47" s="49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>
      <c r="A48" s="49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>
      <c r="A49" s="49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>
      <c r="A50" s="49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>
      <c r="A51" s="49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>
      <c r="A52" s="49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>
      <c r="A53" s="49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>
      <c r="A54" s="49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>
      <c r="A55" s="49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>
      <c r="A56" s="49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>
      <c r="A57" s="49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>
      <c r="A58" s="49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>
      <c r="A59" s="49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>
      <c r="A60" s="49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>
      <c r="A61" s="49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>
      <c r="A62" s="49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>
      <c r="A63" s="49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>
      <c r="A64" s="49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>
      <c r="A65" s="49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>
      <c r="A66" s="49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>
      <c r="A67" s="49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>
      <c r="A68" s="49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>
      <c r="A69" s="49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>
      <c r="A70" s="49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>
      <c r="A71" s="49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>
      <c r="A72" s="49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>
      <c r="A73" s="49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>
      <c r="A74" s="49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>
      <c r="A75" s="49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>
      <c r="A76" s="49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>
      <c r="A77" s="49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>
      <c r="A78" s="49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>
      <c r="A79" s="49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>
      <c r="A80" s="49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>
      <c r="A81" s="49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>
      <c r="A82" s="49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>
      <c r="A83" s="49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>
      <c r="A84" s="49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>
      <c r="A85" s="49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>
      <c r="A86" s="49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>
      <c r="A87" s="49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>
      <c r="A88" s="49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>
      <c r="A89" s="49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>
      <c r="A90" s="49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>
      <c r="A91" s="49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>
      <c r="A92" s="49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>
      <c r="A93" s="49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>
      <c r="A94" s="49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>
      <c r="A95" s="49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>
      <c r="A96" s="49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>
      <c r="A97" s="49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>
      <c r="A98" s="49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>
      <c r="A99" s="49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>
      <c r="A100" s="49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>
      <c r="A101" s="49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>
      <c r="A102" s="49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>
      <c r="A103" s="49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>
      <c r="A104" s="49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>
      <c r="A105" s="49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>
      <c r="A106" s="49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>
      <c r="A107" s="49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>
      <c r="A108" s="49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>
      <c r="A109" s="49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>
      <c r="A110" s="49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>
      <c r="A111" s="49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>
      <c r="A112" s="49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>
      <c r="A113" s="49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>
      <c r="A114" s="49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>
      <c r="A115" s="49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>
      <c r="A116" s="49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>
      <c r="A117" s="49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>
      <c r="A118" s="49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>
      <c r="A119" s="49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>
      <c r="A120" s="49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>
      <c r="A121" s="49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>
      <c r="A122" s="49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>
      <c r="A123" s="49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>
      <c r="A124" s="49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>
      <c r="A125" s="49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>
      <c r="A126" s="49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>
      <c r="A127" s="49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>
      <c r="A128" s="49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>
      <c r="A129" s="49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>
      <c r="A130" s="49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>
      <c r="A131" s="49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>
      <c r="A132" s="49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>
      <c r="A133" s="49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>
      <c r="A134" s="49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>
      <c r="A135" s="49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>
      <c r="A136" s="49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>
      <c r="A137" s="49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>
      <c r="A138" s="49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>
      <c r="A139" s="49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>
      <c r="A140" s="49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>
      <c r="A141" s="49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>
      <c r="A142" s="49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>
      <c r="A143" s="49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>
      <c r="A144" s="49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>
      <c r="A145" s="49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>
      <c r="A146" s="49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>
      <c r="A147" s="49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>
      <c r="A148" s="49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>
      <c r="A149" s="49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>
      <c r="A150" s="49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>
      <c r="A151" s="49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>
      <c r="A152" s="49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>
      <c r="A153" s="49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>
      <c r="A154" s="49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>
      <c r="A155" s="49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>
      <c r="A156" s="49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>
      <c r="A157" s="49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>
      <c r="A158" s="49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>
      <c r="A159" s="49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>
      <c r="A160" s="49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>
      <c r="A161" s="49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>
      <c r="A162" s="49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>
      <c r="A163" s="49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>
      <c r="A164" s="49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>
      <c r="A165" s="49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>
      <c r="A166" s="49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>
      <c r="A167" s="49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>
      <c r="A168" s="49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>
      <c r="A169" s="49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>
      <c r="A170" s="49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>
      <c r="A171" s="49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>
      <c r="A172" s="49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>
      <c r="A173" s="49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>
      <c r="A174" s="49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>
      <c r="A175" s="49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>
      <c r="A176" s="49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>
      <c r="A177" s="49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>
      <c r="A178" s="49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>
      <c r="A179" s="49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>
      <c r="A180" s="49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>
      <c r="A181" s="49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>
      <c r="A182" s="49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>
      <c r="A183" s="49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>
      <c r="A184" s="49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>
      <c r="A185" s="49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>
      <c r="A186" s="49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>
      <c r="A187" s="49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>
      <c r="A188" s="49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>
      <c r="A189" s="49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>
      <c r="A190" s="49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>
      <c r="A191" s="49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>
      <c r="A192" s="49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>
      <c r="A193" s="49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>
      <c r="A194" s="49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>
      <c r="A195" s="49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>
      <c r="A196" s="49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>
      <c r="A197" s="49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>
      <c r="A198" s="49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>
      <c r="A199" s="49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>
      <c r="A200" s="49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>
      <c r="A201" s="49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>
      <c r="A202" s="49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>
      <c r="A203" s="49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>
      <c r="A204" s="49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>
      <c r="A205" s="49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>
      <c r="A206" s="49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>
      <c r="A207" s="49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>
      <c r="A208" s="49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>
      <c r="A209" s="49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>
      <c r="A210" s="49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>
      <c r="A211" s="49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>
      <c r="A212" s="49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>
      <c r="A213" s="49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>
      <c r="A214" s="49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>
      <c r="A215" s="49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>
      <c r="A216" s="49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>
      <c r="A217" s="49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>
      <c r="A218" s="49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>
      <c r="A219" s="49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>
      <c r="A220" s="49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>
      <c r="A221" s="49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>
      <c r="A222" s="49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>
      <c r="A223" s="49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>
      <c r="A224" s="49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>
      <c r="A225" s="49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>
      <c r="A226" s="49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>
      <c r="A227" s="49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>
      <c r="A228" s="49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>
      <c r="A229" s="49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>
      <c r="A230" s="49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>
      <c r="A231" s="49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>
      <c r="A232" s="49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>
      <c r="A233" s="49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>
      <c r="A234" s="49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>
      <c r="A235" s="49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>
      <c r="A236" s="49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>
      <c r="A237" s="49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>
      <c r="A238" s="49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>
      <c r="A239" s="49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>
      <c r="A240" s="49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>
      <c r="A241" s="49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>
      <c r="A242" s="49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>
      <c r="A243" s="49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>
      <c r="A244" s="49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>
      <c r="A245" s="49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>
      <c r="A246" s="49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>
      <c r="A247" s="49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>
      <c r="A248" s="49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>
      <c r="A249" s="49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>
      <c r="A250" s="49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>
      <c r="A251" s="49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>
      <c r="A252" s="49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>
      <c r="A253" s="49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>
      <c r="A254" s="49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>
      <c r="A255" s="49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>
      <c r="A256" s="49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>
      <c r="A257" s="49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>
      <c r="A258" s="49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>
      <c r="A259" s="49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>
      <c r="A260" s="49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>
      <c r="A261" s="49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>
      <c r="A262" s="49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>
      <c r="A263" s="49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>
      <c r="A264" s="49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>
      <c r="A265" s="49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>
      <c r="A266" s="49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>
      <c r="A267" s="49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>
      <c r="A268" s="49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>
      <c r="A269" s="49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>
      <c r="A270" s="49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>
      <c r="A271" s="49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>
      <c r="A272" s="49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>
      <c r="A273" s="49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>
      <c r="A274" s="49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>
      <c r="A275" s="49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>
      <c r="A276" s="49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>
      <c r="A277" s="49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>
      <c r="A278" s="49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>
      <c r="A279" s="49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>
      <c r="A280" s="49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>
      <c r="A281" s="49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>
      <c r="A282" s="49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>
      <c r="A283" s="49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>
      <c r="A284" s="49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>
      <c r="A285" s="49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>
      <c r="A286" s="49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>
      <c r="A287" s="49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>
      <c r="A288" s="49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>
      <c r="A289" s="49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>
      <c r="A290" s="49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>
      <c r="A291" s="49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>
      <c r="A292" s="49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>
      <c r="A293" s="49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>
      <c r="A294" s="49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>
      <c r="A295" s="49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>
      <c r="A296" s="49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>
      <c r="A297" s="49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>
      <c r="A298" s="49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>
      <c r="A299" s="49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>
      <c r="A300" s="49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>
      <c r="A301" s="49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>
      <c r="A302" s="49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>
      <c r="A303" s="49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>
      <c r="A304" s="49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>
      <c r="A305" s="49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>
      <c r="A306" s="49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>
      <c r="A307" s="49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>
      <c r="A308" s="49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>
      <c r="A309" s="49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>
      <c r="A310" s="49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>
      <c r="A311" s="49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>
      <c r="A312" s="49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>
      <c r="A313" s="49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>
      <c r="A314" s="49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>
      <c r="A315" s="49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>
      <c r="A316" s="49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>
      <c r="A317" s="49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>
      <c r="A318" s="49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>
      <c r="A319" s="49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>
      <c r="A320" s="49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>
      <c r="A321" s="49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>
      <c r="A322" s="49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>
      <c r="A323" s="49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>
      <c r="A324" s="49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>
      <c r="A325" s="49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>
      <c r="A326" s="49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>
      <c r="A327" s="49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>
      <c r="A328" s="49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>
      <c r="A329" s="49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>
      <c r="A330" s="49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>
      <c r="A331" s="49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>
      <c r="A332" s="49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>
      <c r="A333" s="49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>
      <c r="A334" s="49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>
      <c r="A335" s="49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>
      <c r="A336" s="49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>
      <c r="A337" s="49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>
      <c r="A338" s="49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>
      <c r="A339" s="49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>
      <c r="A340" s="49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>
      <c r="A341" s="49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>
      <c r="A342" s="49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>
      <c r="A343" s="49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>
      <c r="A344" s="49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>
      <c r="A345" s="49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>
      <c r="A346" s="49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>
      <c r="A347" s="49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>
      <c r="A348" s="49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>
      <c r="A349" s="49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>
      <c r="A350" s="49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>
      <c r="A351" s="49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>
      <c r="A352" s="49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>
      <c r="A353" s="49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>
      <c r="A354" s="49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>
      <c r="A355" s="49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>
      <c r="A356" s="49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>
      <c r="A357" s="49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>
      <c r="A358" s="49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>
      <c r="A359" s="49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>
      <c r="A360" s="49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>
      <c r="A361" s="49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>
      <c r="A362" s="49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>
      <c r="A363" s="49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>
      <c r="A364" s="49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>
      <c r="A365" s="49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>
      <c r="A366" s="49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>
      <c r="A367" s="49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>
      <c r="A368" s="49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>
      <c r="A369" s="49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>
      <c r="A370" s="49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>
      <c r="A371" s="49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>
      <c r="A372" s="49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>
      <c r="A373" s="49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>
      <c r="A374" s="49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>
      <c r="A375" s="49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>
      <c r="A376" s="49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>
      <c r="A377" s="49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>
      <c r="A378" s="49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>
      <c r="A379" s="49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>
      <c r="A380" s="49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>
      <c r="A381" s="49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>
      <c r="A382" s="49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>
      <c r="A383" s="49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>
      <c r="A384" s="49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>
      <c r="A385" s="49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>
      <c r="A386" s="49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>
      <c r="A387" s="49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>
      <c r="A388" s="49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>
      <c r="A389" s="49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>
      <c r="A390" s="49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>
      <c r="A391" s="49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>
      <c r="A392" s="49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>
      <c r="A393" s="49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>
      <c r="A394" s="49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>
      <c r="A395" s="49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>
      <c r="A396" s="49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>
      <c r="A397" s="49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>
      <c r="A398" s="49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>
      <c r="A399" s="49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>
      <c r="A400" s="49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>
      <c r="A401" s="49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>
      <c r="A402" s="49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>
      <c r="A403" s="49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>
      <c r="A404" s="49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>
      <c r="A405" s="49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>
      <c r="A406" s="49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>
      <c r="A407" s="49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>
      <c r="A408" s="49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>
      <c r="A409" s="49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>
      <c r="A410" s="49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>
      <c r="A411" s="49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>
      <c r="A412" s="49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>
      <c r="A413" s="49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>
      <c r="A414" s="49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>
      <c r="A415" s="49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>
      <c r="A416" s="49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>
      <c r="A417" s="49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>
      <c r="A418" s="49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>
      <c r="A419" s="49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>
      <c r="A420" s="49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>
      <c r="A421" s="49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>
      <c r="A422" s="49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>
      <c r="A423" s="49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>
      <c r="A424" s="49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>
      <c r="A425" s="49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>
      <c r="A426" s="49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>
      <c r="A427" s="49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>
      <c r="A428" s="49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>
      <c r="A429" s="49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>
      <c r="A430" s="49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>
      <c r="A431" s="49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>
      <c r="A432" s="49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>
      <c r="A433" s="49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>
      <c r="A434" s="49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>
      <c r="A435" s="49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>
      <c r="A436" s="49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>
      <c r="A437" s="49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>
      <c r="A438" s="49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>
      <c r="A439" s="49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>
      <c r="A440" s="49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>
      <c r="A441" s="49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>
      <c r="A442" s="49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>
      <c r="A443" s="49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>
      <c r="A444" s="49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>
      <c r="A445" s="49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>
      <c r="A446" s="49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>
      <c r="A447" s="49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>
      <c r="A448" s="49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>
      <c r="A449" s="49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>
      <c r="A450" s="49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>
      <c r="A451" s="49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>
      <c r="A452" s="49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>
      <c r="A453" s="49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>
      <c r="A454" s="49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>
      <c r="A455" s="49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>
      <c r="A456" s="49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>
      <c r="A457" s="49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>
      <c r="A458" s="49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>
      <c r="A459" s="49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>
      <c r="A460" s="49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>
      <c r="A461" s="49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>
      <c r="A462" s="49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>
      <c r="A463" s="49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>
      <c r="A464" s="49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>
      <c r="A465" s="49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>
      <c r="A466" s="49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>
      <c r="A467" s="49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>
      <c r="A468" s="49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>
      <c r="A469" s="49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>
      <c r="A470" s="49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>
      <c r="A471" s="49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>
      <c r="A472" s="49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>
      <c r="A473" s="49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>
      <c r="A474" s="49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>
      <c r="A475" s="49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>
      <c r="A476" s="49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>
      <c r="A477" s="49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>
      <c r="A478" s="49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>
      <c r="A479" s="49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>
      <c r="A480" s="49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>
      <c r="A481" s="49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>
      <c r="A482" s="49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>
      <c r="A483" s="49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>
      <c r="A484" s="49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>
      <c r="A485" s="49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>
      <c r="A486" s="49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>
      <c r="A487" s="49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>
      <c r="A488" s="49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>
      <c r="A489" s="49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>
      <c r="A490" s="49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>
      <c r="A491" s="49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>
      <c r="A492" s="49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>
      <c r="A493" s="49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>
      <c r="A494" s="49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>
      <c r="A495" s="49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>
      <c r="A496" s="49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>
      <c r="A497" s="49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>
      <c r="A498" s="49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>
      <c r="A499" s="49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>
      <c r="A500" s="49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>
      <c r="A501" s="49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>
      <c r="A502" s="49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>
      <c r="A503" s="49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>
      <c r="A504" s="49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>
      <c r="A505" s="49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>
      <c r="A506" s="49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>
      <c r="A507" s="49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>
      <c r="A508" s="49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>
      <c r="A509" s="49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>
      <c r="A510" s="49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>
      <c r="A511" s="49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>
      <c r="A512" s="49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>
      <c r="A513" s="49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>
      <c r="A514" s="49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>
      <c r="A515" s="49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>
      <c r="A516" s="49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>
      <c r="A517" s="49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>
      <c r="A518" s="49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>
      <c r="A519" s="49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>
      <c r="A520" s="49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>
      <c r="A521" s="49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>
      <c r="A522" s="49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>
      <c r="A523" s="49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>
      <c r="A524" s="49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>
      <c r="A525" s="49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>
      <c r="A526" s="49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>
      <c r="A527" s="49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>
      <c r="A528" s="49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>
      <c r="A529" s="49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>
      <c r="A530" s="49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>
      <c r="A531" s="49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>
      <c r="A532" s="49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>
      <c r="A533" s="49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>
      <c r="A534" s="49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>
      <c r="A535" s="49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>
      <c r="A536" s="49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>
      <c r="A537" s="49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>
      <c r="A538" s="49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>
      <c r="A539" s="49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>
      <c r="A540" s="49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>
      <c r="A541" s="49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>
      <c r="A542" s="49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>
      <c r="A543" s="49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>
      <c r="A544" s="49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>
      <c r="A545" s="49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>
      <c r="A546" s="49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>
      <c r="A547" s="49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>
      <c r="A548" s="49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>
      <c r="A549" s="49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>
      <c r="A550" s="49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>
      <c r="A551" s="49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>
      <c r="A552" s="49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>
      <c r="A553" s="49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>
      <c r="A554" s="49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>
      <c r="A555" s="49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>
      <c r="A556" s="49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>
      <c r="A557" s="49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>
      <c r="A558" s="49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>
      <c r="A559" s="49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>
      <c r="A560" s="49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>
      <c r="A561" s="49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>
      <c r="A562" s="49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>
      <c r="A563" s="49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>
      <c r="A564" s="49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>
      <c r="A565" s="49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>
      <c r="A566" s="49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>
      <c r="A567" s="49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>
      <c r="A568" s="49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>
      <c r="A569" s="49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>
      <c r="A570" s="49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>
      <c r="A571" s="49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>
      <c r="A572" s="49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>
      <c r="A573" s="49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>
      <c r="A574" s="49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>
      <c r="A575" s="49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>
      <c r="A576" s="49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>
      <c r="A577" s="49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>
      <c r="A578" s="49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>
      <c r="A579" s="49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>
      <c r="A580" s="49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>
      <c r="A581" s="49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>
      <c r="A582" s="49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>
      <c r="A583" s="49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>
      <c r="A584" s="49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>
      <c r="A585" s="49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>
      <c r="A586" s="49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>
      <c r="A587" s="49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>
      <c r="A588" s="49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>
      <c r="A589" s="49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>
      <c r="A590" s="49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>
      <c r="A591" s="49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>
      <c r="A592" s="49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>
      <c r="A593" s="49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>
      <c r="A594" s="49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>
      <c r="A595" s="49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>
      <c r="A596" s="49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>
      <c r="A597" s="49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>
      <c r="A598" s="49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>
      <c r="A599" s="49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>
      <c r="A600" s="49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>
      <c r="A601" s="49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>
      <c r="A602" s="49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>
      <c r="A603" s="49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>
      <c r="A604" s="49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>
      <c r="A605" s="49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>
      <c r="A606" s="49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>
      <c r="A607" s="49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>
      <c r="A608" s="49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>
      <c r="A609" s="49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>
      <c r="A610" s="49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>
      <c r="A611" s="49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>
      <c r="A612" s="49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>
      <c r="A613" s="49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>
      <c r="A614" s="49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>
      <c r="A615" s="49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>
      <c r="A616" s="49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>
      <c r="A617" s="49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>
      <c r="A618" s="49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>
      <c r="A619" s="49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>
      <c r="A620" s="49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>
      <c r="A621" s="49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>
      <c r="A622" s="49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>
      <c r="A623" s="49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>
      <c r="A624" s="49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>
      <c r="A625" s="49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>
      <c r="A626" s="49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>
      <c r="A627" s="49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>
      <c r="A628" s="49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>
      <c r="A629" s="49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>
      <c r="A630" s="49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>
      <c r="A631" s="49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>
      <c r="A632" s="49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>
      <c r="A633" s="49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>
      <c r="A634" s="49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>
      <c r="A635" s="49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>
      <c r="A636" s="49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>
      <c r="A637" s="49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>
      <c r="A638" s="49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>
      <c r="A639" s="49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>
      <c r="A640" s="49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>
      <c r="A641" s="49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>
      <c r="A642" s="49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>
      <c r="A643" s="49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>
      <c r="A644" s="49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>
      <c r="A645" s="49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>
      <c r="A646" s="49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>
      <c r="A647" s="49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>
      <c r="A648" s="49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>
      <c r="A649" s="49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>
      <c r="A650" s="49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>
      <c r="A651" s="49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>
      <c r="A652" s="49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>
      <c r="A653" s="49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>
      <c r="A654" s="49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>
      <c r="A655" s="49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>
      <c r="A656" s="49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>
      <c r="A657" s="49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>
      <c r="A658" s="49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>
      <c r="A659" s="49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>
      <c r="A660" s="49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>
      <c r="A661" s="49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>
      <c r="A662" s="49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>
      <c r="A663" s="49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>
      <c r="A664" s="49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>
      <c r="A665" s="49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>
      <c r="A666" s="49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>
      <c r="A667" s="49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>
      <c r="A668" s="49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>
      <c r="A669" s="49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>
      <c r="A670" s="49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>
      <c r="A671" s="49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>
      <c r="A672" s="49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>
      <c r="A673" s="49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>
      <c r="A674" s="49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>
      <c r="A675" s="49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>
      <c r="A676" s="49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>
      <c r="A677" s="49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>
      <c r="A678" s="49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>
      <c r="A679" s="49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>
      <c r="A680" s="49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>
      <c r="A681" s="49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>
      <c r="A682" s="49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>
      <c r="A683" s="49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>
      <c r="A684" s="49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>
      <c r="A685" s="49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>
      <c r="A686" s="49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>
      <c r="A687" s="49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>
      <c r="A688" s="49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>
      <c r="A689" s="49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>
      <c r="A690" s="49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>
      <c r="A691" s="49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>
      <c r="A692" s="49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>
      <c r="A693" s="49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>
      <c r="A694" s="49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>
      <c r="A695" s="49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>
      <c r="A696" s="49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>
      <c r="A697" s="49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>
      <c r="A698" s="49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>
      <c r="A699" s="49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>
      <c r="A700" s="49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>
      <c r="A701" s="49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>
      <c r="A702" s="49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>
      <c r="A703" s="49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>
      <c r="A704" s="49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>
      <c r="A705" s="49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>
      <c r="A706" s="49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>
      <c r="A707" s="49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>
      <c r="A708" s="49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>
      <c r="A709" s="49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>
      <c r="A710" s="49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>
      <c r="A711" s="49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>
      <c r="A712" s="49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>
      <c r="A713" s="49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>
      <c r="A714" s="49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>
      <c r="A715" s="49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>
      <c r="A716" s="49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>
      <c r="A717" s="49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>
      <c r="A718" s="49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>
      <c r="A719" s="49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>
      <c r="A720" s="49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>
      <c r="A721" s="49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>
      <c r="A722" s="49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>
      <c r="A723" s="49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>
      <c r="A724" s="49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>
      <c r="A725" s="49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>
      <c r="A726" s="49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>
      <c r="A727" s="49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>
      <c r="A728" s="49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>
      <c r="A729" s="49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>
      <c r="A730" s="49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>
      <c r="A731" s="49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>
      <c r="A732" s="49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>
      <c r="A733" s="49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>
      <c r="A734" s="49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>
      <c r="A735" s="49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>
      <c r="A736" s="49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>
      <c r="A737" s="49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>
      <c r="A738" s="49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>
      <c r="A739" s="49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>
      <c r="A740" s="49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>
      <c r="A741" s="49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>
      <c r="A742" s="49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>
      <c r="A743" s="49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>
      <c r="A744" s="49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>
      <c r="A745" s="49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>
      <c r="A746" s="49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>
      <c r="A747" s="49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>
      <c r="A748" s="49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>
      <c r="A749" s="49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>
      <c r="A750" s="49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>
      <c r="A751" s="49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>
      <c r="A752" s="49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>
      <c r="A753" s="49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>
      <c r="A754" s="49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>
      <c r="A755" s="49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>
      <c r="A756" s="49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>
      <c r="A757" s="49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>
      <c r="A758" s="49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>
      <c r="A759" s="49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>
      <c r="A760" s="49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>
      <c r="A761" s="49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>
      <c r="A762" s="49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>
      <c r="A763" s="49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>
      <c r="A764" s="49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>
      <c r="A765" s="49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>
      <c r="A766" s="49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>
      <c r="A767" s="49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>
      <c r="A768" s="49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>
      <c r="A769" s="49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>
      <c r="A770" s="49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>
      <c r="A771" s="49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>
      <c r="A772" s="49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>
      <c r="A773" s="49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>
      <c r="A774" s="49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>
      <c r="A775" s="49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>
      <c r="A776" s="49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>
      <c r="A777" s="49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>
      <c r="A778" s="49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>
      <c r="A779" s="49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>
      <c r="A780" s="49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>
      <c r="A781" s="49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>
      <c r="A782" s="49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>
      <c r="A783" s="49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>
      <c r="A784" s="49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>
      <c r="A785" s="49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>
      <c r="A786" s="49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>
      <c r="A787" s="49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>
      <c r="A788" s="49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>
      <c r="A789" s="49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>
      <c r="A790" s="49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>
      <c r="A791" s="49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>
      <c r="A792" s="49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>
      <c r="A793" s="49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>
      <c r="A794" s="49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>
      <c r="A795" s="49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>
      <c r="A796" s="49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>
      <c r="A797" s="49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>
      <c r="A798" s="49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>
      <c r="A799" s="49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>
      <c r="A800" s="49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>
      <c r="A801" s="49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>
      <c r="A802" s="49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>
      <c r="A803" s="49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>
      <c r="A804" s="49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>
      <c r="A805" s="49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>
      <c r="A806" s="49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>
      <c r="A807" s="49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>
      <c r="A808" s="49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>
      <c r="A809" s="49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>
      <c r="A810" s="49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>
      <c r="A811" s="49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>
      <c r="A812" s="49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>
      <c r="A813" s="49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>
      <c r="A814" s="49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>
      <c r="A815" s="49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>
      <c r="A816" s="49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>
      <c r="A817" s="49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>
      <c r="A818" s="49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>
      <c r="A819" s="49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>
      <c r="A820" s="49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>
      <c r="A821" s="49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>
      <c r="A822" s="49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>
      <c r="A823" s="49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>
      <c r="A824" s="49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>
      <c r="A825" s="49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>
      <c r="A826" s="49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>
      <c r="A827" s="49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>
      <c r="A828" s="49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>
      <c r="A829" s="49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>
      <c r="A830" s="49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>
      <c r="A831" s="49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>
      <c r="A832" s="49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>
      <c r="A833" s="49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>
      <c r="A834" s="49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>
      <c r="A835" s="49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>
      <c r="A836" s="49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>
      <c r="A837" s="49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>
      <c r="A838" s="49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>
      <c r="A839" s="49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>
      <c r="A840" s="49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>
      <c r="A841" s="49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>
      <c r="A842" s="49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>
      <c r="A843" s="49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>
      <c r="A844" s="49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>
      <c r="A845" s="49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>
      <c r="A846" s="49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>
      <c r="A847" s="49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>
      <c r="A848" s="49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>
      <c r="A849" s="49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>
      <c r="A850" s="49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>
      <c r="A851" s="49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>
      <c r="A852" s="49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>
      <c r="A853" s="49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>
      <c r="A854" s="49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>
      <c r="A855" s="49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>
      <c r="A856" s="49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>
      <c r="A857" s="49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>
      <c r="A858" s="49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>
      <c r="A859" s="49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>
      <c r="A860" s="49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>
      <c r="A861" s="49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>
      <c r="A862" s="49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>
      <c r="A863" s="49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>
      <c r="A864" s="49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>
      <c r="A865" s="49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>
      <c r="A866" s="49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>
      <c r="A867" s="49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>
      <c r="A868" s="49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>
      <c r="A869" s="49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>
      <c r="A870" s="49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>
      <c r="A871" s="49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>
      <c r="A872" s="49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>
      <c r="A873" s="49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>
      <c r="A874" s="49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>
      <c r="A875" s="49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>
      <c r="A876" s="49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>
      <c r="A877" s="49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>
      <c r="A878" s="49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>
      <c r="A879" s="49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>
      <c r="A880" s="49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>
      <c r="A881" s="49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>
      <c r="A882" s="49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>
      <c r="A883" s="49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>
      <c r="A884" s="49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>
      <c r="A885" s="49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>
      <c r="A886" s="49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>
      <c r="A887" s="49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>
      <c r="A888" s="49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>
      <c r="A889" s="49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>
      <c r="A890" s="49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>
      <c r="A891" s="49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>
      <c r="A892" s="49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>
      <c r="A893" s="49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>
      <c r="A894" s="49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>
      <c r="A895" s="49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>
      <c r="A896" s="49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>
      <c r="A897" s="49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>
      <c r="A898" s="49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>
      <c r="A899" s="49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>
      <c r="A900" s="49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>
      <c r="A901" s="49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>
      <c r="A902" s="49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>
      <c r="A903" s="49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>
      <c r="A904" s="49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>
      <c r="A905" s="49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>
      <c r="A906" s="49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>
      <c r="A907" s="49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>
      <c r="A908" s="49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>
      <c r="A909" s="49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>
      <c r="A910" s="49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>
      <c r="A911" s="49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>
      <c r="A912" s="49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>
      <c r="A913" s="49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>
      <c r="A914" s="49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>
      <c r="A915" s="49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>
      <c r="A916" s="49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>
      <c r="A917" s="49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>
      <c r="A918" s="49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>
      <c r="A919" s="49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>
      <c r="A920" s="49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>
      <c r="A921" s="49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>
      <c r="A922" s="49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>
      <c r="A923" s="49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>
      <c r="A924" s="49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>
      <c r="A925" s="49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>
      <c r="A926" s="49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>
      <c r="A927" s="49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>
      <c r="A928" s="49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>
      <c r="A929" s="49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>
      <c r="A930" s="49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>
      <c r="A931" s="49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>
      <c r="A932" s="49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>
      <c r="A933" s="49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>
      <c r="A934" s="49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>
      <c r="A935" s="49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>
      <c r="A936" s="49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>
      <c r="A937" s="49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>
      <c r="A938" s="49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>
      <c r="A939" s="49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>
      <c r="A940" s="49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>
      <c r="A941" s="49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>
      <c r="A942" s="49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>
      <c r="A943" s="49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>
      <c r="A944" s="49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>
      <c r="A945" s="49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>
      <c r="A946" s="49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>
      <c r="A947" s="49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>
      <c r="A948" s="49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>
      <c r="A949" s="49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>
      <c r="A950" s="49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>
      <c r="A951" s="49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>
      <c r="A952" s="49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>
      <c r="A953" s="49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>
      <c r="A954" s="49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>
      <c r="A955" s="49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>
      <c r="A956" s="49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>
      <c r="A957" s="49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>
      <c r="A958" s="49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>
      <c r="A959" s="49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>
      <c r="A960" s="49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>
      <c r="A961" s="49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>
      <c r="A962" s="49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>
      <c r="A963" s="49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>
      <c r="A964" s="49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>
      <c r="A965" s="49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>
      <c r="A966" s="49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>
      <c r="A967" s="49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>
      <c r="A968" s="49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30.5"/>
    <col customWidth="1" min="3" max="6" width="17.5"/>
    <col customWidth="1" min="7" max="7" width="23.5"/>
    <col customWidth="1" min="8" max="8" width="17.38"/>
  </cols>
  <sheetData>
    <row r="1" ht="30.0" customHeight="1">
      <c r="A1" s="54" t="s">
        <v>669</v>
      </c>
      <c r="B1" s="55" t="s">
        <v>670</v>
      </c>
      <c r="C1" s="55" t="s">
        <v>671</v>
      </c>
      <c r="D1" s="55" t="s">
        <v>672</v>
      </c>
      <c r="E1" s="55" t="s">
        <v>673</v>
      </c>
      <c r="F1" s="55" t="s">
        <v>674</v>
      </c>
      <c r="G1" s="55" t="s">
        <v>675</v>
      </c>
      <c r="H1" s="55" t="s">
        <v>676</v>
      </c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</row>
    <row r="2">
      <c r="A2" s="39" t="s">
        <v>59</v>
      </c>
      <c r="B2" s="40" t="s">
        <v>677</v>
      </c>
      <c r="C2" s="40" t="s">
        <v>678</v>
      </c>
      <c r="D2" s="40" t="s">
        <v>678</v>
      </c>
      <c r="E2" s="40" t="s">
        <v>678</v>
      </c>
      <c r="F2" s="40" t="s">
        <v>678</v>
      </c>
      <c r="G2" s="40" t="s">
        <v>678</v>
      </c>
      <c r="H2" s="40" t="s">
        <v>678</v>
      </c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</row>
    <row r="3">
      <c r="A3" s="39" t="s">
        <v>63</v>
      </c>
      <c r="B3" s="40" t="s">
        <v>679</v>
      </c>
      <c r="C3" s="40" t="s">
        <v>678</v>
      </c>
      <c r="D3" s="40" t="s">
        <v>678</v>
      </c>
      <c r="E3" s="40" t="s">
        <v>678</v>
      </c>
      <c r="F3" s="40" t="s">
        <v>678</v>
      </c>
      <c r="G3" s="40" t="s">
        <v>678</v>
      </c>
      <c r="H3" s="40" t="s">
        <v>678</v>
      </c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</row>
    <row r="4">
      <c r="A4" s="39" t="s">
        <v>65</v>
      </c>
      <c r="B4" s="40" t="s">
        <v>680</v>
      </c>
      <c r="C4" s="40" t="s">
        <v>678</v>
      </c>
      <c r="D4" s="40" t="s">
        <v>678</v>
      </c>
      <c r="E4" s="40" t="s">
        <v>678</v>
      </c>
      <c r="F4" s="40" t="s">
        <v>678</v>
      </c>
      <c r="G4" s="40" t="s">
        <v>678</v>
      </c>
      <c r="H4" s="40" t="s">
        <v>678</v>
      </c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</row>
    <row r="5">
      <c r="A5" s="39" t="s">
        <v>72</v>
      </c>
      <c r="B5" s="40" t="s">
        <v>680</v>
      </c>
      <c r="C5" s="40" t="s">
        <v>678</v>
      </c>
      <c r="D5" s="40" t="s">
        <v>678</v>
      </c>
      <c r="E5" s="40" t="s">
        <v>678</v>
      </c>
      <c r="F5" s="40" t="s">
        <v>678</v>
      </c>
      <c r="G5" s="40" t="s">
        <v>678</v>
      </c>
      <c r="H5" s="40" t="s">
        <v>678</v>
      </c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</row>
    <row r="6">
      <c r="A6" s="39" t="s">
        <v>77</v>
      </c>
      <c r="B6" s="40" t="s">
        <v>680</v>
      </c>
      <c r="C6" s="40" t="s">
        <v>678</v>
      </c>
      <c r="D6" s="40" t="s">
        <v>678</v>
      </c>
      <c r="E6" s="40" t="s">
        <v>678</v>
      </c>
      <c r="F6" s="40" t="s">
        <v>678</v>
      </c>
      <c r="G6" s="40" t="s">
        <v>678</v>
      </c>
      <c r="H6" s="40" t="s">
        <v>678</v>
      </c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</row>
    <row r="7">
      <c r="A7" s="39" t="s">
        <v>80</v>
      </c>
      <c r="B7" s="40" t="s">
        <v>679</v>
      </c>
      <c r="C7" s="40" t="s">
        <v>678</v>
      </c>
      <c r="D7" s="40" t="s">
        <v>678</v>
      </c>
      <c r="E7" s="40" t="s">
        <v>678</v>
      </c>
      <c r="F7" s="40" t="s">
        <v>678</v>
      </c>
      <c r="G7" s="40" t="s">
        <v>678</v>
      </c>
      <c r="H7" s="40" t="s">
        <v>678</v>
      </c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</row>
    <row r="8">
      <c r="A8" s="39" t="s">
        <v>86</v>
      </c>
      <c r="B8" s="40" t="s">
        <v>681</v>
      </c>
      <c r="C8" s="40" t="s">
        <v>678</v>
      </c>
      <c r="D8" s="40" t="s">
        <v>678</v>
      </c>
      <c r="E8" s="40" t="s">
        <v>678</v>
      </c>
      <c r="F8" s="40" t="s">
        <v>678</v>
      </c>
      <c r="G8" s="40" t="s">
        <v>678</v>
      </c>
      <c r="H8" s="40" t="s">
        <v>678</v>
      </c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</row>
    <row r="9">
      <c r="A9" s="39" t="s">
        <v>88</v>
      </c>
      <c r="B9" s="40" t="s">
        <v>682</v>
      </c>
      <c r="C9" s="40" t="s">
        <v>678</v>
      </c>
      <c r="D9" s="40" t="s">
        <v>678</v>
      </c>
      <c r="E9" s="40" t="s">
        <v>678</v>
      </c>
      <c r="F9" s="40" t="s">
        <v>678</v>
      </c>
      <c r="G9" s="40" t="s">
        <v>678</v>
      </c>
      <c r="H9" s="40" t="s">
        <v>678</v>
      </c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</row>
    <row r="10">
      <c r="A10" s="39" t="s">
        <v>94</v>
      </c>
      <c r="B10" s="40" t="s">
        <v>683</v>
      </c>
      <c r="C10" s="40" t="s">
        <v>678</v>
      </c>
      <c r="D10" s="40" t="s">
        <v>678</v>
      </c>
      <c r="E10" s="40" t="s">
        <v>678</v>
      </c>
      <c r="F10" s="40" t="s">
        <v>678</v>
      </c>
      <c r="G10" s="40" t="s">
        <v>678</v>
      </c>
      <c r="H10" s="40" t="s">
        <v>678</v>
      </c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</row>
    <row r="11">
      <c r="A11" s="39" t="s">
        <v>105</v>
      </c>
      <c r="B11" s="40" t="s">
        <v>679</v>
      </c>
      <c r="C11" s="40" t="s">
        <v>678</v>
      </c>
      <c r="D11" s="40" t="s">
        <v>678</v>
      </c>
      <c r="E11" s="40" t="s">
        <v>678</v>
      </c>
      <c r="F11" s="40" t="s">
        <v>678</v>
      </c>
      <c r="G11" s="40" t="s">
        <v>678</v>
      </c>
      <c r="H11" s="40" t="s">
        <v>678</v>
      </c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</row>
    <row r="12">
      <c r="A12" s="39" t="s">
        <v>108</v>
      </c>
      <c r="B12" s="40" t="s">
        <v>679</v>
      </c>
      <c r="C12" s="40" t="s">
        <v>678</v>
      </c>
      <c r="D12" s="40" t="s">
        <v>678</v>
      </c>
      <c r="E12" s="40" t="s">
        <v>678</v>
      </c>
      <c r="F12" s="40" t="s">
        <v>678</v>
      </c>
      <c r="G12" s="40" t="s">
        <v>678</v>
      </c>
      <c r="H12" s="40" t="s">
        <v>678</v>
      </c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</row>
    <row r="13">
      <c r="A13" s="39" t="s">
        <v>112</v>
      </c>
      <c r="B13" s="40" t="s">
        <v>684</v>
      </c>
      <c r="C13" s="40" t="s">
        <v>678</v>
      </c>
      <c r="D13" s="40" t="s">
        <v>678</v>
      </c>
      <c r="E13" s="40" t="s">
        <v>678</v>
      </c>
      <c r="F13" s="40" t="s">
        <v>678</v>
      </c>
      <c r="G13" s="40" t="s">
        <v>678</v>
      </c>
      <c r="H13" s="40" t="s">
        <v>678</v>
      </c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</row>
    <row r="14">
      <c r="A14" s="39" t="s">
        <v>119</v>
      </c>
      <c r="B14" s="40" t="s">
        <v>685</v>
      </c>
      <c r="C14" s="40" t="s">
        <v>678</v>
      </c>
      <c r="D14" s="40" t="s">
        <v>678</v>
      </c>
      <c r="E14" s="40" t="s">
        <v>678</v>
      </c>
      <c r="F14" s="40" t="s">
        <v>678</v>
      </c>
      <c r="G14" s="40" t="s">
        <v>678</v>
      </c>
      <c r="H14" s="40" t="s">
        <v>678</v>
      </c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</row>
    <row r="15">
      <c r="A15" s="39" t="s">
        <v>125</v>
      </c>
      <c r="B15" s="40" t="s">
        <v>686</v>
      </c>
      <c r="C15" s="40" t="s">
        <v>678</v>
      </c>
      <c r="D15" s="40" t="s">
        <v>678</v>
      </c>
      <c r="E15" s="40" t="s">
        <v>678</v>
      </c>
      <c r="F15" s="40" t="s">
        <v>678</v>
      </c>
      <c r="G15" s="40" t="s">
        <v>678</v>
      </c>
      <c r="H15" s="40" t="s">
        <v>678</v>
      </c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</row>
    <row r="16">
      <c r="A16" s="39" t="s">
        <v>128</v>
      </c>
      <c r="B16" s="40" t="s">
        <v>687</v>
      </c>
      <c r="C16" s="40" t="s">
        <v>678</v>
      </c>
      <c r="D16" s="40" t="s">
        <v>678</v>
      </c>
      <c r="E16" s="40" t="s">
        <v>678</v>
      </c>
      <c r="F16" s="40" t="s">
        <v>678</v>
      </c>
      <c r="G16" s="40" t="s">
        <v>678</v>
      </c>
      <c r="H16" s="40" t="s">
        <v>678</v>
      </c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</row>
    <row r="17">
      <c r="A17" s="39" t="s">
        <v>132</v>
      </c>
      <c r="B17" s="40" t="s">
        <v>688</v>
      </c>
      <c r="C17" s="40" t="s">
        <v>678</v>
      </c>
      <c r="D17" s="40" t="s">
        <v>678</v>
      </c>
      <c r="E17" s="40" t="s">
        <v>678</v>
      </c>
      <c r="F17" s="40" t="s">
        <v>678</v>
      </c>
      <c r="G17" s="40" t="s">
        <v>678</v>
      </c>
      <c r="H17" s="40" t="s">
        <v>678</v>
      </c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</row>
    <row r="18">
      <c r="A18" s="39" t="s">
        <v>139</v>
      </c>
      <c r="B18" s="40" t="s">
        <v>689</v>
      </c>
      <c r="C18" s="40" t="s">
        <v>678</v>
      </c>
      <c r="D18" s="40" t="s">
        <v>678</v>
      </c>
      <c r="E18" s="40" t="s">
        <v>678</v>
      </c>
      <c r="F18" s="40" t="s">
        <v>678</v>
      </c>
      <c r="G18" s="40" t="s">
        <v>678</v>
      </c>
      <c r="H18" s="40" t="s">
        <v>678</v>
      </c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</row>
    <row r="19">
      <c r="A19" s="39" t="s">
        <v>148</v>
      </c>
      <c r="B19" s="40" t="s">
        <v>690</v>
      </c>
      <c r="C19" s="40" t="s">
        <v>678</v>
      </c>
      <c r="D19" s="40" t="s">
        <v>678</v>
      </c>
      <c r="E19" s="40" t="s">
        <v>678</v>
      </c>
      <c r="F19" s="40" t="s">
        <v>678</v>
      </c>
      <c r="G19" s="40" t="s">
        <v>678</v>
      </c>
      <c r="H19" s="40" t="s">
        <v>678</v>
      </c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</row>
    <row r="20">
      <c r="A20" s="39" t="s">
        <v>158</v>
      </c>
      <c r="B20" s="40" t="s">
        <v>691</v>
      </c>
      <c r="C20" s="40" t="s">
        <v>678</v>
      </c>
      <c r="D20" s="40" t="s">
        <v>678</v>
      </c>
      <c r="E20" s="40" t="s">
        <v>678</v>
      </c>
      <c r="F20" s="40" t="s">
        <v>678</v>
      </c>
      <c r="G20" s="40" t="s">
        <v>678</v>
      </c>
      <c r="H20" s="40" t="s">
        <v>678</v>
      </c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</row>
    <row r="21">
      <c r="A21" s="39" t="s">
        <v>168</v>
      </c>
      <c r="B21" s="40" t="s">
        <v>692</v>
      </c>
      <c r="C21" s="40" t="s">
        <v>678</v>
      </c>
      <c r="D21" s="40" t="s">
        <v>678</v>
      </c>
      <c r="E21" s="40" t="s">
        <v>678</v>
      </c>
      <c r="F21" s="40" t="s">
        <v>678</v>
      </c>
      <c r="G21" s="40" t="s">
        <v>678</v>
      </c>
      <c r="H21" s="40" t="s">
        <v>678</v>
      </c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</row>
    <row r="22">
      <c r="A22" s="39" t="s">
        <v>175</v>
      </c>
      <c r="B22" s="40" t="s">
        <v>693</v>
      </c>
      <c r="C22" s="40" t="s">
        <v>678</v>
      </c>
      <c r="D22" s="40" t="s">
        <v>678</v>
      </c>
      <c r="E22" s="40" t="s">
        <v>678</v>
      </c>
      <c r="F22" s="40" t="s">
        <v>678</v>
      </c>
      <c r="G22" s="40" t="s">
        <v>678</v>
      </c>
      <c r="H22" s="40" t="s">
        <v>678</v>
      </c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</row>
    <row r="23">
      <c r="A23" s="39" t="s">
        <v>186</v>
      </c>
      <c r="B23" s="40" t="s">
        <v>694</v>
      </c>
      <c r="C23" s="40" t="s">
        <v>678</v>
      </c>
      <c r="D23" s="40" t="s">
        <v>678</v>
      </c>
      <c r="E23" s="40" t="s">
        <v>678</v>
      </c>
      <c r="F23" s="40" t="s">
        <v>678</v>
      </c>
      <c r="G23" s="40" t="s">
        <v>678</v>
      </c>
      <c r="H23" s="40" t="s">
        <v>678</v>
      </c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</row>
    <row r="24">
      <c r="A24" s="39" t="s">
        <v>188</v>
      </c>
      <c r="B24" s="40" t="s">
        <v>695</v>
      </c>
      <c r="C24" s="40" t="s">
        <v>678</v>
      </c>
      <c r="D24" s="40" t="s">
        <v>678</v>
      </c>
      <c r="E24" s="40" t="s">
        <v>678</v>
      </c>
      <c r="F24" s="40" t="s">
        <v>678</v>
      </c>
      <c r="G24" s="40" t="s">
        <v>678</v>
      </c>
      <c r="H24" s="40" t="s">
        <v>678</v>
      </c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</row>
    <row r="25">
      <c r="A25" s="39" t="s">
        <v>194</v>
      </c>
      <c r="B25" s="40" t="s">
        <v>696</v>
      </c>
      <c r="C25" s="40" t="s">
        <v>678</v>
      </c>
      <c r="D25" s="40" t="s">
        <v>678</v>
      </c>
      <c r="E25" s="40" t="s">
        <v>678</v>
      </c>
      <c r="F25" s="40" t="s">
        <v>678</v>
      </c>
      <c r="G25" s="40" t="s">
        <v>678</v>
      </c>
      <c r="H25" s="40" t="s">
        <v>678</v>
      </c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</row>
    <row r="26">
      <c r="A26" s="39" t="s">
        <v>202</v>
      </c>
      <c r="B26" s="40" t="s">
        <v>679</v>
      </c>
      <c r="C26" s="40" t="s">
        <v>678</v>
      </c>
      <c r="D26" s="40" t="s">
        <v>678</v>
      </c>
      <c r="E26" s="40" t="s">
        <v>678</v>
      </c>
      <c r="F26" s="40" t="s">
        <v>678</v>
      </c>
      <c r="G26" s="40" t="s">
        <v>678</v>
      </c>
      <c r="H26" s="40" t="s">
        <v>678</v>
      </c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</row>
    <row r="27">
      <c r="A27" s="39" t="s">
        <v>207</v>
      </c>
      <c r="B27" s="40" t="s">
        <v>679</v>
      </c>
      <c r="C27" s="40" t="s">
        <v>678</v>
      </c>
      <c r="D27" s="40" t="s">
        <v>678</v>
      </c>
      <c r="E27" s="40" t="s">
        <v>678</v>
      </c>
      <c r="F27" s="40" t="s">
        <v>678</v>
      </c>
      <c r="G27" s="40" t="s">
        <v>678</v>
      </c>
      <c r="H27" s="40" t="s">
        <v>678</v>
      </c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</row>
    <row r="28">
      <c r="A28" s="39" t="s">
        <v>210</v>
      </c>
      <c r="B28" s="40" t="s">
        <v>697</v>
      </c>
      <c r="C28" s="40" t="s">
        <v>678</v>
      </c>
      <c r="D28" s="40" t="s">
        <v>678</v>
      </c>
      <c r="E28" s="40" t="s">
        <v>678</v>
      </c>
      <c r="F28" s="40" t="s">
        <v>678</v>
      </c>
      <c r="G28" s="40" t="s">
        <v>678</v>
      </c>
      <c r="H28" s="40" t="s">
        <v>678</v>
      </c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</row>
    <row r="29">
      <c r="A29" s="58" t="s">
        <v>219</v>
      </c>
      <c r="B29" s="40" t="s">
        <v>698</v>
      </c>
      <c r="C29" s="40" t="s">
        <v>678</v>
      </c>
      <c r="D29" s="40" t="s">
        <v>678</v>
      </c>
      <c r="E29" s="40" t="s">
        <v>678</v>
      </c>
      <c r="F29" s="40" t="s">
        <v>678</v>
      </c>
      <c r="G29" s="40" t="s">
        <v>678</v>
      </c>
      <c r="H29" s="40" t="s">
        <v>678</v>
      </c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</row>
    <row r="30">
      <c r="A30" s="39" t="s">
        <v>225</v>
      </c>
      <c r="B30" s="40" t="s">
        <v>699</v>
      </c>
      <c r="C30" s="40" t="s">
        <v>678</v>
      </c>
      <c r="D30" s="40" t="s">
        <v>678</v>
      </c>
      <c r="E30" s="40" t="s">
        <v>678</v>
      </c>
      <c r="F30" s="40" t="s">
        <v>678</v>
      </c>
      <c r="G30" s="40" t="s">
        <v>678</v>
      </c>
      <c r="H30" s="40" t="s">
        <v>678</v>
      </c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</row>
    <row r="31">
      <c r="A31" s="39" t="s">
        <v>229</v>
      </c>
      <c r="B31" s="40" t="s">
        <v>700</v>
      </c>
      <c r="C31" s="40" t="s">
        <v>678</v>
      </c>
      <c r="D31" s="40" t="s">
        <v>678</v>
      </c>
      <c r="E31" s="40" t="s">
        <v>678</v>
      </c>
      <c r="F31" s="40" t="s">
        <v>678</v>
      </c>
      <c r="G31" s="40" t="s">
        <v>678</v>
      </c>
      <c r="H31" s="40" t="s">
        <v>678</v>
      </c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</row>
    <row r="32">
      <c r="A32" s="39" t="s">
        <v>239</v>
      </c>
      <c r="B32" s="40" t="s">
        <v>701</v>
      </c>
      <c r="C32" s="40" t="s">
        <v>678</v>
      </c>
      <c r="D32" s="40" t="s">
        <v>678</v>
      </c>
      <c r="E32" s="40" t="s">
        <v>678</v>
      </c>
      <c r="F32" s="40" t="s">
        <v>678</v>
      </c>
      <c r="G32" s="40" t="s">
        <v>678</v>
      </c>
      <c r="H32" s="40" t="s">
        <v>678</v>
      </c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</row>
    <row r="33">
      <c r="A33" s="39" t="s">
        <v>242</v>
      </c>
      <c r="B33" s="40" t="s">
        <v>702</v>
      </c>
      <c r="C33" s="40" t="s">
        <v>678</v>
      </c>
      <c r="D33" s="40" t="s">
        <v>678</v>
      </c>
      <c r="E33" s="40" t="s">
        <v>678</v>
      </c>
      <c r="F33" s="40" t="s">
        <v>678</v>
      </c>
      <c r="G33" s="40" t="s">
        <v>678</v>
      </c>
      <c r="H33" s="40" t="s">
        <v>678</v>
      </c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</row>
    <row r="34">
      <c r="A34" s="39" t="s">
        <v>248</v>
      </c>
      <c r="B34" s="40" t="s">
        <v>703</v>
      </c>
      <c r="C34" s="40" t="s">
        <v>678</v>
      </c>
      <c r="D34" s="40" t="s">
        <v>678</v>
      </c>
      <c r="E34" s="40" t="s">
        <v>678</v>
      </c>
      <c r="F34" s="40" t="s">
        <v>678</v>
      </c>
      <c r="G34" s="40" t="s">
        <v>678</v>
      </c>
      <c r="H34" s="40" t="s">
        <v>678</v>
      </c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</row>
    <row r="35">
      <c r="A35" s="39" t="s">
        <v>254</v>
      </c>
      <c r="B35" s="40" t="s">
        <v>704</v>
      </c>
      <c r="C35" s="40" t="s">
        <v>678</v>
      </c>
      <c r="D35" s="40" t="s">
        <v>678</v>
      </c>
      <c r="E35" s="40" t="s">
        <v>678</v>
      </c>
      <c r="F35" s="40" t="s">
        <v>678</v>
      </c>
      <c r="G35" s="40" t="s">
        <v>678</v>
      </c>
      <c r="H35" s="40" t="s">
        <v>678</v>
      </c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</row>
    <row r="36">
      <c r="A36" s="39" t="s">
        <v>261</v>
      </c>
      <c r="B36" s="40" t="s">
        <v>705</v>
      </c>
      <c r="C36" s="40" t="s">
        <v>678</v>
      </c>
      <c r="D36" s="40" t="s">
        <v>678</v>
      </c>
      <c r="E36" s="40" t="s">
        <v>678</v>
      </c>
      <c r="F36" s="40" t="s">
        <v>678</v>
      </c>
      <c r="G36" s="40" t="s">
        <v>678</v>
      </c>
      <c r="H36" s="40" t="s">
        <v>678</v>
      </c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</row>
    <row r="37">
      <c r="A37" s="39" t="s">
        <v>269</v>
      </c>
      <c r="B37" s="40" t="s">
        <v>706</v>
      </c>
      <c r="C37" s="40" t="s">
        <v>678</v>
      </c>
      <c r="D37" s="40" t="s">
        <v>678</v>
      </c>
      <c r="E37" s="40" t="s">
        <v>678</v>
      </c>
      <c r="F37" s="40" t="s">
        <v>678</v>
      </c>
      <c r="G37" s="40" t="s">
        <v>678</v>
      </c>
      <c r="H37" s="40" t="s">
        <v>678</v>
      </c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</row>
    <row r="38">
      <c r="A38" s="39" t="s">
        <v>275</v>
      </c>
      <c r="B38" s="40" t="s">
        <v>707</v>
      </c>
      <c r="C38" s="40" t="s">
        <v>678</v>
      </c>
      <c r="D38" s="40" t="s">
        <v>678</v>
      </c>
      <c r="E38" s="40" t="s">
        <v>678</v>
      </c>
      <c r="F38" s="40" t="s">
        <v>678</v>
      </c>
      <c r="G38" s="40" t="s">
        <v>678</v>
      </c>
      <c r="H38" s="40" t="s">
        <v>678</v>
      </c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</row>
    <row r="39">
      <c r="A39" s="39" t="s">
        <v>280</v>
      </c>
      <c r="B39" s="40" t="s">
        <v>708</v>
      </c>
      <c r="C39" s="40" t="s">
        <v>678</v>
      </c>
      <c r="D39" s="40" t="s">
        <v>678</v>
      </c>
      <c r="E39" s="40" t="s">
        <v>678</v>
      </c>
      <c r="F39" s="40" t="s">
        <v>678</v>
      </c>
      <c r="G39" s="40" t="s">
        <v>678</v>
      </c>
      <c r="H39" s="40" t="s">
        <v>678</v>
      </c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</row>
    <row r="40">
      <c r="A40" s="39" t="s">
        <v>287</v>
      </c>
      <c r="B40" s="40" t="s">
        <v>709</v>
      </c>
      <c r="C40" s="40" t="s">
        <v>678</v>
      </c>
      <c r="D40" s="40" t="s">
        <v>678</v>
      </c>
      <c r="E40" s="40" t="s">
        <v>678</v>
      </c>
      <c r="F40" s="40" t="s">
        <v>678</v>
      </c>
      <c r="G40" s="40" t="s">
        <v>678</v>
      </c>
      <c r="H40" s="40" t="s">
        <v>678</v>
      </c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</row>
    <row r="41">
      <c r="A41" s="39" t="s">
        <v>296</v>
      </c>
      <c r="B41" s="40" t="s">
        <v>710</v>
      </c>
      <c r="C41" s="40" t="s">
        <v>678</v>
      </c>
      <c r="D41" s="40" t="s">
        <v>678</v>
      </c>
      <c r="E41" s="40" t="s">
        <v>678</v>
      </c>
      <c r="F41" s="40" t="s">
        <v>678</v>
      </c>
      <c r="G41" s="40" t="s">
        <v>678</v>
      </c>
      <c r="H41" s="40" t="s">
        <v>678</v>
      </c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</row>
    <row r="42">
      <c r="A42" s="39" t="s">
        <v>306</v>
      </c>
      <c r="B42" s="40" t="s">
        <v>711</v>
      </c>
      <c r="C42" s="40" t="s">
        <v>678</v>
      </c>
      <c r="D42" s="40" t="s">
        <v>678</v>
      </c>
      <c r="E42" s="40" t="s">
        <v>678</v>
      </c>
      <c r="F42" s="40" t="s">
        <v>678</v>
      </c>
      <c r="G42" s="40" t="s">
        <v>678</v>
      </c>
      <c r="H42" s="40" t="s">
        <v>678</v>
      </c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</row>
    <row r="43">
      <c r="A43" s="39" t="s">
        <v>309</v>
      </c>
      <c r="B43" s="40" t="s">
        <v>712</v>
      </c>
      <c r="C43" s="40" t="s">
        <v>678</v>
      </c>
      <c r="D43" s="40" t="s">
        <v>678</v>
      </c>
      <c r="E43" s="40" t="s">
        <v>678</v>
      </c>
      <c r="F43" s="40" t="s">
        <v>678</v>
      </c>
      <c r="G43" s="40" t="s">
        <v>678</v>
      </c>
      <c r="H43" s="40" t="s">
        <v>678</v>
      </c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</row>
    <row r="44">
      <c r="A44" s="39" t="s">
        <v>317</v>
      </c>
      <c r="B44" s="40" t="s">
        <v>713</v>
      </c>
      <c r="C44" s="40" t="s">
        <v>678</v>
      </c>
      <c r="D44" s="40" t="s">
        <v>678</v>
      </c>
      <c r="E44" s="40" t="s">
        <v>678</v>
      </c>
      <c r="F44" s="40" t="s">
        <v>678</v>
      </c>
      <c r="G44" s="40" t="s">
        <v>678</v>
      </c>
      <c r="H44" s="40" t="s">
        <v>678</v>
      </c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</row>
    <row r="45">
      <c r="A45" s="39" t="s">
        <v>334</v>
      </c>
      <c r="B45" s="40" t="s">
        <v>714</v>
      </c>
      <c r="C45" s="40" t="s">
        <v>678</v>
      </c>
      <c r="D45" s="40" t="s">
        <v>678</v>
      </c>
      <c r="E45" s="40" t="s">
        <v>678</v>
      </c>
      <c r="F45" s="40" t="s">
        <v>678</v>
      </c>
      <c r="G45" s="40" t="s">
        <v>678</v>
      </c>
      <c r="H45" s="40" t="s">
        <v>678</v>
      </c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</row>
    <row r="46">
      <c r="A46" s="39" t="s">
        <v>340</v>
      </c>
      <c r="B46" s="40" t="s">
        <v>715</v>
      </c>
      <c r="C46" s="40" t="s">
        <v>678</v>
      </c>
      <c r="D46" s="40" t="s">
        <v>678</v>
      </c>
      <c r="E46" s="40" t="s">
        <v>678</v>
      </c>
      <c r="F46" s="40" t="s">
        <v>678</v>
      </c>
      <c r="G46" s="40" t="s">
        <v>678</v>
      </c>
      <c r="H46" s="40" t="s">
        <v>678</v>
      </c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</row>
    <row r="47">
      <c r="A47" s="39" t="s">
        <v>350</v>
      </c>
      <c r="B47" s="40" t="s">
        <v>716</v>
      </c>
      <c r="C47" s="40" t="s">
        <v>678</v>
      </c>
      <c r="D47" s="40" t="s">
        <v>678</v>
      </c>
      <c r="E47" s="40" t="s">
        <v>678</v>
      </c>
      <c r="F47" s="40" t="s">
        <v>678</v>
      </c>
      <c r="G47" s="40" t="s">
        <v>678</v>
      </c>
      <c r="H47" s="40" t="s">
        <v>678</v>
      </c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</row>
    <row r="48">
      <c r="A48" s="39" t="s">
        <v>356</v>
      </c>
      <c r="B48" s="40" t="s">
        <v>717</v>
      </c>
      <c r="C48" s="40" t="s">
        <v>678</v>
      </c>
      <c r="D48" s="40" t="s">
        <v>678</v>
      </c>
      <c r="E48" s="40" t="s">
        <v>678</v>
      </c>
      <c r="F48" s="40" t="s">
        <v>678</v>
      </c>
      <c r="G48" s="40" t="s">
        <v>678</v>
      </c>
      <c r="H48" s="40" t="s">
        <v>678</v>
      </c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</row>
    <row r="49">
      <c r="A49" s="39" t="s">
        <v>364</v>
      </c>
      <c r="B49" s="40" t="s">
        <v>718</v>
      </c>
      <c r="C49" s="40" t="s">
        <v>678</v>
      </c>
      <c r="D49" s="40" t="s">
        <v>678</v>
      </c>
      <c r="E49" s="40" t="s">
        <v>678</v>
      </c>
      <c r="F49" s="40" t="s">
        <v>678</v>
      </c>
      <c r="G49" s="40" t="s">
        <v>678</v>
      </c>
      <c r="H49" s="40" t="s">
        <v>678</v>
      </c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</row>
    <row r="50">
      <c r="A50" s="39" t="s">
        <v>366</v>
      </c>
      <c r="B50" s="40" t="s">
        <v>719</v>
      </c>
      <c r="C50" s="40" t="s">
        <v>678</v>
      </c>
      <c r="D50" s="40" t="s">
        <v>678</v>
      </c>
      <c r="E50" s="40" t="s">
        <v>678</v>
      </c>
      <c r="F50" s="40" t="s">
        <v>678</v>
      </c>
      <c r="G50" s="40" t="s">
        <v>678</v>
      </c>
      <c r="H50" s="40" t="s">
        <v>678</v>
      </c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</row>
    <row r="51">
      <c r="A51" s="39" t="s">
        <v>376</v>
      </c>
      <c r="B51" s="40" t="s">
        <v>720</v>
      </c>
      <c r="C51" s="40" t="s">
        <v>678</v>
      </c>
      <c r="D51" s="40" t="s">
        <v>678</v>
      </c>
      <c r="E51" s="40" t="s">
        <v>678</v>
      </c>
      <c r="F51" s="40" t="s">
        <v>678</v>
      </c>
      <c r="G51" s="40" t="s">
        <v>678</v>
      </c>
      <c r="H51" s="40" t="s">
        <v>678</v>
      </c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</row>
    <row r="52">
      <c r="A52" s="39" t="s">
        <v>381</v>
      </c>
      <c r="B52" s="40" t="s">
        <v>721</v>
      </c>
      <c r="C52" s="40" t="s">
        <v>678</v>
      </c>
      <c r="D52" s="40" t="s">
        <v>678</v>
      </c>
      <c r="E52" s="40" t="s">
        <v>678</v>
      </c>
      <c r="F52" s="40" t="s">
        <v>678</v>
      </c>
      <c r="G52" s="40" t="s">
        <v>678</v>
      </c>
      <c r="H52" s="40" t="s">
        <v>678</v>
      </c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</row>
    <row r="53">
      <c r="A53" s="58" t="s">
        <v>392</v>
      </c>
      <c r="B53" s="40" t="s">
        <v>722</v>
      </c>
      <c r="C53" s="40" t="s">
        <v>678</v>
      </c>
      <c r="D53" s="40" t="s">
        <v>678</v>
      </c>
      <c r="E53" s="40" t="s">
        <v>678</v>
      </c>
      <c r="F53" s="40" t="s">
        <v>678</v>
      </c>
      <c r="G53" s="40" t="s">
        <v>678</v>
      </c>
      <c r="H53" s="40" t="s">
        <v>678</v>
      </c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9"/>
      <c r="T53" s="59"/>
      <c r="U53" s="59"/>
      <c r="V53" s="59"/>
      <c r="W53" s="59"/>
      <c r="X53" s="59"/>
      <c r="Y53" s="59"/>
      <c r="Z53" s="59"/>
      <c r="AA53" s="59"/>
    </row>
    <row r="54">
      <c r="A54" s="39" t="s">
        <v>394</v>
      </c>
      <c r="B54" s="40" t="s">
        <v>720</v>
      </c>
      <c r="C54" s="40" t="s">
        <v>678</v>
      </c>
      <c r="D54" s="40" t="s">
        <v>678</v>
      </c>
      <c r="E54" s="40" t="s">
        <v>678</v>
      </c>
      <c r="F54" s="40" t="s">
        <v>678</v>
      </c>
      <c r="G54" s="40" t="s">
        <v>678</v>
      </c>
      <c r="H54" s="40" t="s">
        <v>678</v>
      </c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</row>
    <row r="55">
      <c r="A55" s="39" t="s">
        <v>401</v>
      </c>
      <c r="B55" s="40" t="s">
        <v>723</v>
      </c>
      <c r="C55" s="40" t="s">
        <v>678</v>
      </c>
      <c r="D55" s="40" t="s">
        <v>678</v>
      </c>
      <c r="E55" s="40" t="s">
        <v>678</v>
      </c>
      <c r="F55" s="40" t="s">
        <v>678</v>
      </c>
      <c r="G55" s="40" t="s">
        <v>678</v>
      </c>
      <c r="H55" s="40" t="s">
        <v>678</v>
      </c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</row>
    <row r="56">
      <c r="A56" s="39" t="s">
        <v>406</v>
      </c>
      <c r="B56" s="40" t="s">
        <v>724</v>
      </c>
      <c r="C56" s="40" t="s">
        <v>678</v>
      </c>
      <c r="D56" s="40" t="s">
        <v>678</v>
      </c>
      <c r="E56" s="40" t="s">
        <v>678</v>
      </c>
      <c r="F56" s="40" t="s">
        <v>678</v>
      </c>
      <c r="G56" s="40" t="s">
        <v>678</v>
      </c>
      <c r="H56" s="40" t="s">
        <v>678</v>
      </c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</row>
    <row r="57">
      <c r="A57" s="39" t="s">
        <v>412</v>
      </c>
      <c r="B57" s="40" t="s">
        <v>718</v>
      </c>
      <c r="C57" s="40" t="s">
        <v>678</v>
      </c>
      <c r="D57" s="40" t="s">
        <v>678</v>
      </c>
      <c r="E57" s="40" t="s">
        <v>678</v>
      </c>
      <c r="F57" s="40" t="s">
        <v>678</v>
      </c>
      <c r="G57" s="40" t="s">
        <v>678</v>
      </c>
      <c r="H57" s="40" t="s">
        <v>678</v>
      </c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</row>
    <row r="58">
      <c r="A58" s="39" t="s">
        <v>423</v>
      </c>
      <c r="B58" s="40" t="s">
        <v>725</v>
      </c>
      <c r="C58" s="40" t="s">
        <v>678</v>
      </c>
      <c r="D58" s="40" t="s">
        <v>678</v>
      </c>
      <c r="E58" s="40" t="s">
        <v>678</v>
      </c>
      <c r="F58" s="40" t="s">
        <v>678</v>
      </c>
      <c r="G58" s="40" t="s">
        <v>678</v>
      </c>
      <c r="H58" s="40" t="s">
        <v>678</v>
      </c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</row>
    <row r="59">
      <c r="A59" s="39" t="s">
        <v>429</v>
      </c>
      <c r="B59" s="40" t="s">
        <v>726</v>
      </c>
      <c r="C59" s="40" t="s">
        <v>678</v>
      </c>
      <c r="D59" s="40" t="s">
        <v>678</v>
      </c>
      <c r="E59" s="40" t="s">
        <v>678</v>
      </c>
      <c r="F59" s="40" t="s">
        <v>678</v>
      </c>
      <c r="G59" s="40" t="s">
        <v>678</v>
      </c>
      <c r="H59" s="40" t="s">
        <v>678</v>
      </c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</row>
    <row r="60">
      <c r="A60" s="39" t="s">
        <v>437</v>
      </c>
      <c r="B60" s="40" t="s">
        <v>727</v>
      </c>
      <c r="C60" s="40" t="s">
        <v>678</v>
      </c>
      <c r="D60" s="40" t="s">
        <v>678</v>
      </c>
      <c r="E60" s="40" t="s">
        <v>678</v>
      </c>
      <c r="F60" s="40" t="s">
        <v>678</v>
      </c>
      <c r="G60" s="40" t="s">
        <v>678</v>
      </c>
      <c r="H60" s="40" t="s">
        <v>678</v>
      </c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</row>
    <row r="61">
      <c r="A61" s="39" t="s">
        <v>445</v>
      </c>
      <c r="B61" s="40" t="s">
        <v>728</v>
      </c>
      <c r="C61" s="40" t="s">
        <v>678</v>
      </c>
      <c r="D61" s="40" t="s">
        <v>678</v>
      </c>
      <c r="E61" s="40" t="s">
        <v>678</v>
      </c>
      <c r="F61" s="40" t="s">
        <v>678</v>
      </c>
      <c r="G61" s="40" t="s">
        <v>678</v>
      </c>
      <c r="H61" s="40" t="s">
        <v>678</v>
      </c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</row>
    <row r="62">
      <c r="A62" s="39" t="s">
        <v>450</v>
      </c>
      <c r="B62" s="40" t="s">
        <v>729</v>
      </c>
      <c r="C62" s="40" t="s">
        <v>678</v>
      </c>
      <c r="D62" s="40" t="s">
        <v>678</v>
      </c>
      <c r="E62" s="40" t="s">
        <v>678</v>
      </c>
      <c r="F62" s="40" t="s">
        <v>678</v>
      </c>
      <c r="G62" s="40" t="s">
        <v>678</v>
      </c>
      <c r="H62" s="40" t="s">
        <v>678</v>
      </c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</row>
    <row r="63">
      <c r="A63" s="39" t="s">
        <v>458</v>
      </c>
      <c r="B63" s="40" t="s">
        <v>730</v>
      </c>
      <c r="C63" s="40" t="s">
        <v>678</v>
      </c>
      <c r="D63" s="40" t="s">
        <v>678</v>
      </c>
      <c r="E63" s="40" t="s">
        <v>678</v>
      </c>
      <c r="F63" s="40" t="s">
        <v>678</v>
      </c>
      <c r="G63" s="40" t="s">
        <v>678</v>
      </c>
      <c r="H63" s="40" t="s">
        <v>678</v>
      </c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</row>
    <row r="64">
      <c r="A64" s="39" t="s">
        <v>463</v>
      </c>
      <c r="B64" s="40" t="s">
        <v>731</v>
      </c>
      <c r="C64" s="40" t="s">
        <v>678</v>
      </c>
      <c r="D64" s="40" t="s">
        <v>678</v>
      </c>
      <c r="E64" s="40" t="s">
        <v>678</v>
      </c>
      <c r="F64" s="40" t="s">
        <v>678</v>
      </c>
      <c r="G64" s="40" t="s">
        <v>678</v>
      </c>
      <c r="H64" s="40" t="s">
        <v>678</v>
      </c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</row>
    <row r="65">
      <c r="A65" s="39" t="s">
        <v>472</v>
      </c>
      <c r="B65" s="40" t="s">
        <v>732</v>
      </c>
      <c r="C65" s="40" t="s">
        <v>678</v>
      </c>
      <c r="D65" s="40" t="s">
        <v>678</v>
      </c>
      <c r="E65" s="40" t="s">
        <v>678</v>
      </c>
      <c r="F65" s="40" t="s">
        <v>678</v>
      </c>
      <c r="G65" s="40" t="s">
        <v>678</v>
      </c>
      <c r="H65" s="40" t="s">
        <v>678</v>
      </c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</row>
    <row r="66">
      <c r="A66" s="39" t="s">
        <v>475</v>
      </c>
      <c r="B66" s="40" t="s">
        <v>733</v>
      </c>
      <c r="C66" s="40" t="s">
        <v>678</v>
      </c>
      <c r="D66" s="40" t="s">
        <v>678</v>
      </c>
      <c r="E66" s="40" t="s">
        <v>678</v>
      </c>
      <c r="F66" s="40" t="s">
        <v>678</v>
      </c>
      <c r="G66" s="40" t="s">
        <v>678</v>
      </c>
      <c r="H66" s="40" t="s">
        <v>678</v>
      </c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</row>
    <row r="67">
      <c r="A67" s="39" t="s">
        <v>479</v>
      </c>
      <c r="B67" s="40" t="s">
        <v>734</v>
      </c>
      <c r="C67" s="40" t="s">
        <v>678</v>
      </c>
      <c r="D67" s="40" t="s">
        <v>678</v>
      </c>
      <c r="E67" s="40" t="s">
        <v>678</v>
      </c>
      <c r="F67" s="40" t="s">
        <v>678</v>
      </c>
      <c r="G67" s="40" t="s">
        <v>678</v>
      </c>
      <c r="H67" s="40" t="s">
        <v>678</v>
      </c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</row>
    <row r="68">
      <c r="A68" s="39" t="s">
        <v>489</v>
      </c>
      <c r="B68" s="40" t="s">
        <v>735</v>
      </c>
      <c r="C68" s="40" t="s">
        <v>678</v>
      </c>
      <c r="D68" s="40" t="s">
        <v>678</v>
      </c>
      <c r="E68" s="40" t="s">
        <v>678</v>
      </c>
      <c r="F68" s="40" t="s">
        <v>678</v>
      </c>
      <c r="G68" s="40" t="s">
        <v>678</v>
      </c>
      <c r="H68" s="40" t="s">
        <v>678</v>
      </c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</row>
    <row r="69">
      <c r="A69" s="39" t="s">
        <v>500</v>
      </c>
      <c r="B69" s="40" t="s">
        <v>736</v>
      </c>
      <c r="C69" s="40" t="s">
        <v>678</v>
      </c>
      <c r="D69" s="40" t="s">
        <v>678</v>
      </c>
      <c r="E69" s="40" t="s">
        <v>678</v>
      </c>
      <c r="F69" s="40" t="s">
        <v>678</v>
      </c>
      <c r="G69" s="40" t="s">
        <v>678</v>
      </c>
      <c r="H69" s="40" t="s">
        <v>678</v>
      </c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</row>
    <row r="70">
      <c r="A70" s="39" t="s">
        <v>504</v>
      </c>
      <c r="B70" s="40" t="s">
        <v>737</v>
      </c>
      <c r="C70" s="40" t="s">
        <v>678</v>
      </c>
      <c r="D70" s="40" t="s">
        <v>678</v>
      </c>
      <c r="E70" s="40" t="s">
        <v>678</v>
      </c>
      <c r="F70" s="40" t="s">
        <v>678</v>
      </c>
      <c r="G70" s="40" t="s">
        <v>678</v>
      </c>
      <c r="H70" s="40" t="s">
        <v>678</v>
      </c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</row>
    <row r="71">
      <c r="A71" s="39" t="s">
        <v>507</v>
      </c>
      <c r="B71" s="40" t="s">
        <v>738</v>
      </c>
      <c r="C71" s="40" t="s">
        <v>678</v>
      </c>
      <c r="D71" s="40" t="s">
        <v>678</v>
      </c>
      <c r="E71" s="40" t="s">
        <v>678</v>
      </c>
      <c r="F71" s="40" t="s">
        <v>678</v>
      </c>
      <c r="G71" s="40" t="s">
        <v>678</v>
      </c>
      <c r="H71" s="40" t="s">
        <v>678</v>
      </c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</row>
    <row r="72">
      <c r="A72" s="39" t="s">
        <v>517</v>
      </c>
      <c r="B72" s="40" t="s">
        <v>739</v>
      </c>
      <c r="C72" s="40" t="s">
        <v>678</v>
      </c>
      <c r="D72" s="40" t="s">
        <v>678</v>
      </c>
      <c r="E72" s="40" t="s">
        <v>678</v>
      </c>
      <c r="F72" s="40" t="s">
        <v>678</v>
      </c>
      <c r="G72" s="40" t="s">
        <v>678</v>
      </c>
      <c r="H72" s="40" t="s">
        <v>678</v>
      </c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</row>
    <row r="73">
      <c r="A73" s="39" t="s">
        <v>523</v>
      </c>
      <c r="B73" s="40" t="s">
        <v>740</v>
      </c>
      <c r="C73" s="40" t="s">
        <v>678</v>
      </c>
      <c r="D73" s="40" t="s">
        <v>678</v>
      </c>
      <c r="E73" s="40" t="s">
        <v>678</v>
      </c>
      <c r="F73" s="40" t="s">
        <v>678</v>
      </c>
      <c r="G73" s="40" t="s">
        <v>678</v>
      </c>
      <c r="H73" s="40" t="s">
        <v>678</v>
      </c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</row>
    <row r="74">
      <c r="A74" s="39" t="s">
        <v>527</v>
      </c>
      <c r="B74" s="40" t="s">
        <v>741</v>
      </c>
      <c r="C74" s="40" t="s">
        <v>678</v>
      </c>
      <c r="D74" s="40" t="s">
        <v>678</v>
      </c>
      <c r="E74" s="40" t="s">
        <v>678</v>
      </c>
      <c r="F74" s="40" t="s">
        <v>678</v>
      </c>
      <c r="G74" s="40" t="s">
        <v>678</v>
      </c>
      <c r="H74" s="40" t="s">
        <v>678</v>
      </c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</row>
    <row r="75">
      <c r="A75" s="39" t="s">
        <v>529</v>
      </c>
      <c r="B75" s="40" t="s">
        <v>742</v>
      </c>
      <c r="C75" s="40" t="s">
        <v>678</v>
      </c>
      <c r="D75" s="40" t="s">
        <v>678</v>
      </c>
      <c r="E75" s="40" t="s">
        <v>678</v>
      </c>
      <c r="F75" s="40" t="s">
        <v>678</v>
      </c>
      <c r="G75" s="40" t="s">
        <v>678</v>
      </c>
      <c r="H75" s="40" t="s">
        <v>678</v>
      </c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</row>
    <row r="76">
      <c r="A76" s="39" t="s">
        <v>539</v>
      </c>
      <c r="B76" s="40" t="s">
        <v>743</v>
      </c>
      <c r="C76" s="40" t="s">
        <v>678</v>
      </c>
      <c r="D76" s="40" t="s">
        <v>678</v>
      </c>
      <c r="E76" s="40" t="s">
        <v>678</v>
      </c>
      <c r="F76" s="40" t="s">
        <v>678</v>
      </c>
      <c r="G76" s="40" t="s">
        <v>678</v>
      </c>
      <c r="H76" s="40" t="s">
        <v>678</v>
      </c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</row>
    <row r="77">
      <c r="A77" s="39" t="s">
        <v>541</v>
      </c>
      <c r="B77" s="40" t="s">
        <v>744</v>
      </c>
      <c r="C77" s="40" t="s">
        <v>678</v>
      </c>
      <c r="D77" s="40" t="s">
        <v>678</v>
      </c>
      <c r="E77" s="40" t="s">
        <v>678</v>
      </c>
      <c r="F77" s="40" t="s">
        <v>678</v>
      </c>
      <c r="G77" s="40" t="s">
        <v>678</v>
      </c>
      <c r="H77" s="40" t="s">
        <v>678</v>
      </c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</row>
    <row r="78">
      <c r="A78" s="39" t="s">
        <v>551</v>
      </c>
      <c r="B78" s="40" t="s">
        <v>745</v>
      </c>
      <c r="C78" s="40" t="s">
        <v>678</v>
      </c>
      <c r="D78" s="40" t="s">
        <v>678</v>
      </c>
      <c r="E78" s="40" t="s">
        <v>678</v>
      </c>
      <c r="F78" s="40" t="s">
        <v>678</v>
      </c>
      <c r="G78" s="40" t="s">
        <v>678</v>
      </c>
      <c r="H78" s="40" t="s">
        <v>678</v>
      </c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</row>
    <row r="79">
      <c r="A79" s="39" t="s">
        <v>555</v>
      </c>
      <c r="B79" s="40" t="s">
        <v>746</v>
      </c>
      <c r="C79" s="40" t="s">
        <v>678</v>
      </c>
      <c r="D79" s="40" t="s">
        <v>678</v>
      </c>
      <c r="E79" s="40" t="s">
        <v>678</v>
      </c>
      <c r="F79" s="40" t="s">
        <v>678</v>
      </c>
      <c r="G79" s="40" t="s">
        <v>678</v>
      </c>
      <c r="H79" s="40" t="s">
        <v>678</v>
      </c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</row>
    <row r="80">
      <c r="A80" s="39" t="s">
        <v>558</v>
      </c>
      <c r="B80" s="40" t="s">
        <v>747</v>
      </c>
      <c r="C80" s="40" t="s">
        <v>678</v>
      </c>
      <c r="D80" s="40" t="s">
        <v>678</v>
      </c>
      <c r="E80" s="40" t="s">
        <v>678</v>
      </c>
      <c r="F80" s="40" t="s">
        <v>678</v>
      </c>
      <c r="G80" s="40" t="s">
        <v>678</v>
      </c>
      <c r="H80" s="40" t="s">
        <v>678</v>
      </c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</row>
    <row r="81">
      <c r="A81" s="39" t="s">
        <v>564</v>
      </c>
      <c r="B81" s="40" t="s">
        <v>748</v>
      </c>
      <c r="C81" s="40" t="s">
        <v>678</v>
      </c>
      <c r="D81" s="40" t="s">
        <v>678</v>
      </c>
      <c r="E81" s="40" t="s">
        <v>678</v>
      </c>
      <c r="F81" s="40" t="s">
        <v>678</v>
      </c>
      <c r="G81" s="40" t="s">
        <v>678</v>
      </c>
      <c r="H81" s="40" t="s">
        <v>678</v>
      </c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</row>
    <row r="82">
      <c r="A82" s="39" t="s">
        <v>570</v>
      </c>
      <c r="B82" s="40" t="s">
        <v>749</v>
      </c>
      <c r="C82" s="40" t="s">
        <v>678</v>
      </c>
      <c r="D82" s="40" t="s">
        <v>678</v>
      </c>
      <c r="E82" s="40" t="s">
        <v>678</v>
      </c>
      <c r="F82" s="40" t="s">
        <v>678</v>
      </c>
      <c r="G82" s="40" t="s">
        <v>678</v>
      </c>
      <c r="H82" s="40" t="s">
        <v>678</v>
      </c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</row>
    <row r="83">
      <c r="A83" s="39" t="s">
        <v>579</v>
      </c>
      <c r="B83" s="40" t="s">
        <v>750</v>
      </c>
      <c r="C83" s="40" t="s">
        <v>678</v>
      </c>
      <c r="D83" s="40" t="s">
        <v>678</v>
      </c>
      <c r="E83" s="40" t="s">
        <v>678</v>
      </c>
      <c r="F83" s="40" t="s">
        <v>678</v>
      </c>
      <c r="G83" s="40" t="s">
        <v>678</v>
      </c>
      <c r="H83" s="40" t="s">
        <v>678</v>
      </c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</row>
    <row r="84">
      <c r="A84" s="39" t="s">
        <v>585</v>
      </c>
      <c r="B84" s="40" t="s">
        <v>751</v>
      </c>
      <c r="C84" s="40" t="s">
        <v>678</v>
      </c>
      <c r="D84" s="40" t="s">
        <v>678</v>
      </c>
      <c r="E84" s="40" t="s">
        <v>678</v>
      </c>
      <c r="F84" s="40" t="s">
        <v>678</v>
      </c>
      <c r="G84" s="40" t="s">
        <v>678</v>
      </c>
      <c r="H84" s="40" t="s">
        <v>678</v>
      </c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</row>
    <row r="85">
      <c r="A85" s="39" t="s">
        <v>591</v>
      </c>
      <c r="B85" s="40" t="s">
        <v>752</v>
      </c>
      <c r="C85" s="40" t="s">
        <v>678</v>
      </c>
      <c r="D85" s="40" t="s">
        <v>678</v>
      </c>
      <c r="E85" s="40" t="s">
        <v>678</v>
      </c>
      <c r="F85" s="40" t="s">
        <v>678</v>
      </c>
      <c r="G85" s="40" t="s">
        <v>678</v>
      </c>
      <c r="H85" s="40" t="s">
        <v>678</v>
      </c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</row>
    <row r="86">
      <c r="A86" s="39" t="s">
        <v>597</v>
      </c>
      <c r="B86" s="40" t="s">
        <v>753</v>
      </c>
      <c r="C86" s="40" t="s">
        <v>678</v>
      </c>
      <c r="D86" s="40" t="s">
        <v>678</v>
      </c>
      <c r="E86" s="40" t="s">
        <v>678</v>
      </c>
      <c r="F86" s="40" t="s">
        <v>678</v>
      </c>
      <c r="G86" s="40" t="s">
        <v>678</v>
      </c>
      <c r="H86" s="40" t="s">
        <v>678</v>
      </c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</row>
    <row r="87">
      <c r="A87" s="39" t="s">
        <v>602</v>
      </c>
      <c r="B87" s="40" t="s">
        <v>754</v>
      </c>
      <c r="C87" s="40" t="s">
        <v>678</v>
      </c>
      <c r="D87" s="40" t="s">
        <v>678</v>
      </c>
      <c r="E87" s="40" t="s">
        <v>678</v>
      </c>
      <c r="F87" s="40" t="s">
        <v>678</v>
      </c>
      <c r="G87" s="40" t="s">
        <v>678</v>
      </c>
      <c r="H87" s="40" t="s">
        <v>678</v>
      </c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</row>
    <row r="88">
      <c r="A88" s="39" t="s">
        <v>605</v>
      </c>
      <c r="B88" s="40" t="s">
        <v>755</v>
      </c>
      <c r="C88" s="40" t="s">
        <v>678</v>
      </c>
      <c r="D88" s="40" t="s">
        <v>678</v>
      </c>
      <c r="E88" s="40" t="s">
        <v>678</v>
      </c>
      <c r="F88" s="40" t="s">
        <v>678</v>
      </c>
      <c r="G88" s="40" t="s">
        <v>678</v>
      </c>
      <c r="H88" s="40" t="s">
        <v>678</v>
      </c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</row>
    <row r="89">
      <c r="A89" s="39" t="s">
        <v>611</v>
      </c>
      <c r="B89" s="40" t="s">
        <v>756</v>
      </c>
      <c r="C89" s="40" t="s">
        <v>678</v>
      </c>
      <c r="D89" s="40" t="s">
        <v>678</v>
      </c>
      <c r="E89" s="40" t="s">
        <v>678</v>
      </c>
      <c r="F89" s="40" t="s">
        <v>678</v>
      </c>
      <c r="G89" s="40" t="s">
        <v>678</v>
      </c>
      <c r="H89" s="40" t="s">
        <v>678</v>
      </c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</row>
    <row r="90">
      <c r="A90" s="39" t="s">
        <v>613</v>
      </c>
      <c r="B90" s="40" t="s">
        <v>757</v>
      </c>
      <c r="C90" s="40" t="s">
        <v>678</v>
      </c>
      <c r="D90" s="40" t="s">
        <v>678</v>
      </c>
      <c r="E90" s="40" t="s">
        <v>678</v>
      </c>
      <c r="F90" s="40" t="s">
        <v>678</v>
      </c>
      <c r="G90" s="40" t="s">
        <v>678</v>
      </c>
      <c r="H90" s="40" t="s">
        <v>678</v>
      </c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</row>
    <row r="91">
      <c r="A91" s="39" t="s">
        <v>618</v>
      </c>
      <c r="B91" s="40" t="s">
        <v>758</v>
      </c>
      <c r="C91" s="40" t="s">
        <v>678</v>
      </c>
      <c r="D91" s="40" t="s">
        <v>678</v>
      </c>
      <c r="E91" s="40" t="s">
        <v>678</v>
      </c>
      <c r="F91" s="40" t="s">
        <v>678</v>
      </c>
      <c r="G91" s="40" t="s">
        <v>678</v>
      </c>
      <c r="H91" s="40" t="s">
        <v>678</v>
      </c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</row>
    <row r="92">
      <c r="A92" s="39" t="s">
        <v>625</v>
      </c>
      <c r="B92" s="40" t="s">
        <v>759</v>
      </c>
      <c r="C92" s="40" t="s">
        <v>678</v>
      </c>
      <c r="D92" s="40" t="s">
        <v>678</v>
      </c>
      <c r="E92" s="40" t="s">
        <v>678</v>
      </c>
      <c r="F92" s="40" t="s">
        <v>678</v>
      </c>
      <c r="G92" s="40" t="s">
        <v>678</v>
      </c>
      <c r="H92" s="40" t="s">
        <v>678</v>
      </c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</row>
    <row r="93">
      <c r="A93" s="39" t="s">
        <v>629</v>
      </c>
      <c r="B93" s="40" t="s">
        <v>760</v>
      </c>
      <c r="C93" s="40" t="s">
        <v>678</v>
      </c>
      <c r="D93" s="40" t="s">
        <v>678</v>
      </c>
      <c r="E93" s="40" t="s">
        <v>678</v>
      </c>
      <c r="F93" s="40" t="s">
        <v>678</v>
      </c>
      <c r="G93" s="40" t="s">
        <v>678</v>
      </c>
      <c r="H93" s="40" t="s">
        <v>678</v>
      </c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</row>
    <row r="94">
      <c r="A94" s="39" t="s">
        <v>634</v>
      </c>
      <c r="B94" s="40" t="s">
        <v>761</v>
      </c>
      <c r="C94" s="40" t="s">
        <v>678</v>
      </c>
      <c r="D94" s="40" t="s">
        <v>678</v>
      </c>
      <c r="E94" s="40" t="s">
        <v>678</v>
      </c>
      <c r="F94" s="40" t="s">
        <v>678</v>
      </c>
      <c r="G94" s="40" t="s">
        <v>678</v>
      </c>
      <c r="H94" s="40" t="s">
        <v>678</v>
      </c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</row>
    <row r="95">
      <c r="A95" s="47"/>
      <c r="B95" s="42"/>
      <c r="C95" s="42"/>
      <c r="D95" s="42"/>
      <c r="E95" s="42"/>
      <c r="F95" s="42"/>
      <c r="G95" s="42"/>
      <c r="H95" s="42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</row>
    <row r="96">
      <c r="A96" s="42"/>
      <c r="B96" s="42"/>
      <c r="C96" s="42"/>
      <c r="D96" s="42"/>
      <c r="E96" s="42"/>
      <c r="F96" s="42"/>
      <c r="G96" s="42"/>
      <c r="H96" s="42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</row>
    <row r="97">
      <c r="A97" s="42"/>
      <c r="B97" s="42"/>
      <c r="C97" s="42"/>
      <c r="D97" s="42"/>
      <c r="E97" s="42"/>
      <c r="F97" s="42"/>
      <c r="G97" s="42"/>
      <c r="H97" s="42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</row>
    <row r="98">
      <c r="A98" s="42"/>
      <c r="B98" s="42"/>
      <c r="C98" s="42"/>
      <c r="D98" s="42"/>
      <c r="E98" s="42"/>
      <c r="F98" s="42"/>
      <c r="G98" s="42"/>
      <c r="H98" s="42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</row>
    <row r="99">
      <c r="A99" s="42"/>
      <c r="B99" s="42"/>
      <c r="C99" s="42"/>
      <c r="D99" s="42"/>
      <c r="E99" s="42"/>
      <c r="F99" s="42"/>
      <c r="G99" s="42"/>
      <c r="H99" s="42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</row>
    <row r="100">
      <c r="A100" s="42"/>
      <c r="B100" s="42"/>
      <c r="C100" s="42"/>
      <c r="D100" s="42"/>
      <c r="E100" s="42"/>
      <c r="F100" s="42"/>
      <c r="G100" s="42"/>
      <c r="H100" s="42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</row>
    <row r="101">
      <c r="A101" s="42"/>
      <c r="B101" s="42"/>
      <c r="C101" s="42"/>
      <c r="D101" s="42"/>
      <c r="E101" s="42"/>
      <c r="F101" s="42"/>
      <c r="G101" s="42"/>
      <c r="H101" s="42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</row>
    <row r="102">
      <c r="A102" s="42"/>
      <c r="B102" s="42"/>
      <c r="C102" s="42"/>
      <c r="D102" s="42"/>
      <c r="E102" s="42"/>
      <c r="F102" s="42"/>
      <c r="G102" s="42"/>
      <c r="H102" s="42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</row>
    <row r="103">
      <c r="A103" s="42"/>
      <c r="B103" s="42"/>
      <c r="C103" s="42"/>
      <c r="D103" s="42"/>
      <c r="E103" s="42"/>
      <c r="F103" s="42"/>
      <c r="G103" s="42"/>
      <c r="H103" s="42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</row>
    <row r="104">
      <c r="A104" s="42"/>
      <c r="B104" s="42"/>
      <c r="C104" s="42"/>
      <c r="D104" s="42"/>
      <c r="E104" s="42"/>
      <c r="F104" s="42"/>
      <c r="G104" s="42"/>
      <c r="H104" s="42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</row>
    <row r="105">
      <c r="A105" s="42"/>
      <c r="B105" s="42"/>
      <c r="C105" s="42"/>
      <c r="D105" s="42"/>
      <c r="E105" s="42"/>
      <c r="F105" s="42"/>
      <c r="G105" s="42"/>
      <c r="H105" s="42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</row>
    <row r="106">
      <c r="A106" s="42"/>
      <c r="B106" s="42"/>
      <c r="C106" s="42"/>
      <c r="D106" s="42"/>
      <c r="E106" s="42"/>
      <c r="F106" s="42"/>
      <c r="G106" s="42"/>
      <c r="H106" s="42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</row>
    <row r="107">
      <c r="A107" s="42"/>
      <c r="B107" s="42"/>
      <c r="C107" s="42"/>
      <c r="D107" s="42"/>
      <c r="E107" s="42"/>
      <c r="F107" s="42"/>
      <c r="G107" s="42"/>
      <c r="H107" s="42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</row>
    <row r="108">
      <c r="A108" s="42"/>
      <c r="B108" s="42"/>
      <c r="C108" s="42"/>
      <c r="D108" s="42"/>
      <c r="E108" s="42"/>
      <c r="F108" s="42"/>
      <c r="G108" s="42"/>
      <c r="H108" s="42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</row>
    <row r="109">
      <c r="A109" s="42"/>
      <c r="B109" s="42"/>
      <c r="C109" s="42"/>
      <c r="D109" s="42"/>
      <c r="E109" s="42"/>
      <c r="F109" s="42"/>
      <c r="G109" s="42"/>
      <c r="H109" s="42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</row>
    <row r="110">
      <c r="A110" s="42"/>
      <c r="B110" s="42"/>
      <c r="C110" s="42"/>
      <c r="D110" s="42"/>
      <c r="E110" s="42"/>
      <c r="F110" s="42"/>
      <c r="G110" s="42"/>
      <c r="H110" s="42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</row>
    <row r="111">
      <c r="A111" s="42"/>
      <c r="B111" s="42"/>
      <c r="C111" s="42"/>
      <c r="D111" s="42"/>
      <c r="E111" s="42"/>
      <c r="F111" s="42"/>
      <c r="G111" s="42"/>
      <c r="H111" s="42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</row>
    <row r="112">
      <c r="A112" s="42"/>
      <c r="B112" s="42"/>
      <c r="C112" s="42"/>
      <c r="D112" s="42"/>
      <c r="E112" s="42"/>
      <c r="F112" s="42"/>
      <c r="G112" s="42"/>
      <c r="H112" s="42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</row>
    <row r="113">
      <c r="A113" s="42"/>
      <c r="B113" s="42"/>
      <c r="C113" s="42"/>
      <c r="D113" s="42"/>
      <c r="E113" s="42"/>
      <c r="F113" s="42"/>
      <c r="G113" s="42"/>
      <c r="H113" s="42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</row>
    <row r="114">
      <c r="A114" s="42"/>
      <c r="B114" s="42"/>
      <c r="C114" s="42"/>
      <c r="D114" s="42"/>
      <c r="E114" s="42"/>
      <c r="F114" s="42"/>
      <c r="G114" s="42"/>
      <c r="H114" s="42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</row>
    <row r="115">
      <c r="A115" s="42"/>
      <c r="B115" s="42"/>
      <c r="C115" s="42"/>
      <c r="D115" s="42"/>
      <c r="E115" s="42"/>
      <c r="F115" s="42"/>
      <c r="G115" s="42"/>
      <c r="H115" s="42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</row>
    <row r="116">
      <c r="A116" s="42"/>
      <c r="B116" s="42"/>
      <c r="C116" s="42"/>
      <c r="D116" s="42"/>
      <c r="E116" s="42"/>
      <c r="F116" s="42"/>
      <c r="G116" s="42"/>
      <c r="H116" s="42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</row>
    <row r="117">
      <c r="A117" s="42"/>
      <c r="B117" s="42"/>
      <c r="C117" s="42"/>
      <c r="D117" s="42"/>
      <c r="E117" s="42"/>
      <c r="F117" s="42"/>
      <c r="G117" s="42"/>
      <c r="H117" s="42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</row>
    <row r="118">
      <c r="A118" s="42"/>
      <c r="B118" s="42"/>
      <c r="C118" s="42"/>
      <c r="D118" s="42"/>
      <c r="E118" s="42"/>
      <c r="F118" s="42"/>
      <c r="G118" s="42"/>
      <c r="H118" s="42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</row>
    <row r="119">
      <c r="A119" s="42"/>
      <c r="B119" s="42"/>
      <c r="C119" s="42"/>
      <c r="D119" s="42"/>
      <c r="E119" s="42"/>
      <c r="F119" s="42"/>
      <c r="G119" s="42"/>
      <c r="H119" s="42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</row>
    <row r="120">
      <c r="A120" s="42"/>
      <c r="B120" s="42"/>
      <c r="C120" s="42"/>
      <c r="D120" s="42"/>
      <c r="E120" s="42"/>
      <c r="F120" s="42"/>
      <c r="G120" s="42"/>
      <c r="H120" s="42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</row>
    <row r="121">
      <c r="A121" s="42"/>
      <c r="B121" s="42"/>
      <c r="C121" s="42"/>
      <c r="D121" s="42"/>
      <c r="E121" s="42"/>
      <c r="F121" s="42"/>
      <c r="G121" s="42"/>
      <c r="H121" s="42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</row>
    <row r="122">
      <c r="A122" s="42"/>
      <c r="B122" s="42"/>
      <c r="C122" s="42"/>
      <c r="D122" s="42"/>
      <c r="E122" s="42"/>
      <c r="F122" s="42"/>
      <c r="G122" s="42"/>
      <c r="H122" s="42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</row>
    <row r="123">
      <c r="A123" s="42"/>
      <c r="B123" s="42"/>
      <c r="C123" s="42"/>
      <c r="D123" s="42"/>
      <c r="E123" s="42"/>
      <c r="F123" s="42"/>
      <c r="G123" s="42"/>
      <c r="H123" s="42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</row>
    <row r="124">
      <c r="A124" s="42"/>
      <c r="B124" s="42"/>
      <c r="C124" s="42"/>
      <c r="D124" s="42"/>
      <c r="E124" s="42"/>
      <c r="F124" s="42"/>
      <c r="G124" s="42"/>
      <c r="H124" s="42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</row>
    <row r="125">
      <c r="A125" s="42"/>
      <c r="B125" s="42"/>
      <c r="C125" s="42"/>
      <c r="D125" s="42"/>
      <c r="E125" s="42"/>
      <c r="F125" s="42"/>
      <c r="G125" s="42"/>
      <c r="H125" s="42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</row>
    <row r="126">
      <c r="A126" s="42"/>
      <c r="B126" s="42"/>
      <c r="C126" s="42"/>
      <c r="D126" s="42"/>
      <c r="E126" s="42"/>
      <c r="F126" s="42"/>
      <c r="G126" s="42"/>
      <c r="H126" s="42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</row>
    <row r="127">
      <c r="A127" s="42"/>
      <c r="B127" s="42"/>
      <c r="C127" s="42"/>
      <c r="D127" s="42"/>
      <c r="E127" s="42"/>
      <c r="F127" s="42"/>
      <c r="G127" s="42"/>
      <c r="H127" s="42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</row>
    <row r="128">
      <c r="A128" s="42"/>
      <c r="B128" s="42"/>
      <c r="C128" s="42"/>
      <c r="D128" s="42"/>
      <c r="E128" s="42"/>
      <c r="F128" s="42"/>
      <c r="G128" s="42"/>
      <c r="H128" s="42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</row>
    <row r="129">
      <c r="A129" s="42"/>
      <c r="B129" s="42"/>
      <c r="C129" s="42"/>
      <c r="D129" s="42"/>
      <c r="E129" s="42"/>
      <c r="F129" s="42"/>
      <c r="G129" s="42"/>
      <c r="H129" s="42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</row>
    <row r="130">
      <c r="A130" s="42"/>
      <c r="B130" s="42"/>
      <c r="C130" s="42"/>
      <c r="D130" s="42"/>
      <c r="E130" s="42"/>
      <c r="F130" s="42"/>
      <c r="G130" s="42"/>
      <c r="H130" s="42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</row>
    <row r="131">
      <c r="A131" s="42"/>
      <c r="B131" s="42"/>
      <c r="C131" s="42"/>
      <c r="D131" s="42"/>
      <c r="E131" s="42"/>
      <c r="F131" s="42"/>
      <c r="G131" s="42"/>
      <c r="H131" s="42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</row>
    <row r="132">
      <c r="A132" s="42"/>
      <c r="B132" s="42"/>
      <c r="C132" s="42"/>
      <c r="D132" s="42"/>
      <c r="E132" s="42"/>
      <c r="F132" s="42"/>
      <c r="G132" s="42"/>
      <c r="H132" s="42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</row>
    <row r="133">
      <c r="A133" s="42"/>
      <c r="B133" s="42"/>
      <c r="C133" s="42"/>
      <c r="D133" s="42"/>
      <c r="E133" s="42"/>
      <c r="F133" s="42"/>
      <c r="G133" s="42"/>
      <c r="H133" s="42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</row>
    <row r="134">
      <c r="A134" s="42"/>
      <c r="B134" s="42"/>
      <c r="C134" s="42"/>
      <c r="D134" s="42"/>
      <c r="E134" s="42"/>
      <c r="F134" s="42"/>
      <c r="G134" s="42"/>
      <c r="H134" s="42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</row>
    <row r="135">
      <c r="A135" s="42"/>
      <c r="B135" s="42"/>
      <c r="C135" s="42"/>
      <c r="D135" s="42"/>
      <c r="E135" s="42"/>
      <c r="F135" s="42"/>
      <c r="G135" s="42"/>
      <c r="H135" s="42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</row>
    <row r="136">
      <c r="A136" s="42"/>
      <c r="B136" s="42"/>
      <c r="C136" s="42"/>
      <c r="D136" s="42"/>
      <c r="E136" s="42"/>
      <c r="F136" s="42"/>
      <c r="G136" s="42"/>
      <c r="H136" s="42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</row>
    <row r="137">
      <c r="A137" s="42"/>
      <c r="B137" s="42"/>
      <c r="C137" s="42"/>
      <c r="D137" s="42"/>
      <c r="E137" s="42"/>
      <c r="F137" s="42"/>
      <c r="G137" s="42"/>
      <c r="H137" s="42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</row>
    <row r="138">
      <c r="A138" s="42"/>
      <c r="B138" s="42"/>
      <c r="C138" s="42"/>
      <c r="D138" s="42"/>
      <c r="E138" s="42"/>
      <c r="F138" s="42"/>
      <c r="G138" s="42"/>
      <c r="H138" s="42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</row>
    <row r="139">
      <c r="A139" s="42"/>
      <c r="B139" s="42"/>
      <c r="C139" s="42"/>
      <c r="D139" s="42"/>
      <c r="E139" s="42"/>
      <c r="F139" s="42"/>
      <c r="G139" s="42"/>
      <c r="H139" s="42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</row>
    <row r="140">
      <c r="A140" s="42"/>
      <c r="B140" s="42"/>
      <c r="C140" s="42"/>
      <c r="D140" s="42"/>
      <c r="E140" s="42"/>
      <c r="F140" s="42"/>
      <c r="G140" s="42"/>
      <c r="H140" s="42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</row>
    <row r="141">
      <c r="A141" s="42"/>
      <c r="B141" s="42"/>
      <c r="C141" s="42"/>
      <c r="D141" s="42"/>
      <c r="E141" s="42"/>
      <c r="F141" s="42"/>
      <c r="G141" s="42"/>
      <c r="H141" s="42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</row>
    <row r="142">
      <c r="A142" s="42"/>
      <c r="B142" s="42"/>
      <c r="C142" s="42"/>
      <c r="D142" s="42"/>
      <c r="E142" s="42"/>
      <c r="F142" s="42"/>
      <c r="G142" s="42"/>
      <c r="H142" s="42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</row>
    <row r="143">
      <c r="A143" s="42"/>
      <c r="B143" s="42"/>
      <c r="C143" s="42"/>
      <c r="D143" s="42"/>
      <c r="E143" s="42"/>
      <c r="F143" s="42"/>
      <c r="G143" s="42"/>
      <c r="H143" s="42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</row>
    <row r="144">
      <c r="A144" s="42"/>
      <c r="B144" s="42"/>
      <c r="C144" s="42"/>
      <c r="D144" s="42"/>
      <c r="E144" s="42"/>
      <c r="F144" s="42"/>
      <c r="G144" s="42"/>
      <c r="H144" s="42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</row>
    <row r="145">
      <c r="A145" s="42"/>
      <c r="B145" s="42"/>
      <c r="C145" s="42"/>
      <c r="D145" s="42"/>
      <c r="E145" s="42"/>
      <c r="F145" s="42"/>
      <c r="G145" s="42"/>
      <c r="H145" s="42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</row>
    <row r="146">
      <c r="A146" s="42"/>
      <c r="B146" s="42"/>
      <c r="C146" s="42"/>
      <c r="D146" s="42"/>
      <c r="E146" s="42"/>
      <c r="F146" s="42"/>
      <c r="G146" s="42"/>
      <c r="H146" s="42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</row>
    <row r="147">
      <c r="A147" s="42"/>
      <c r="B147" s="42"/>
      <c r="C147" s="42"/>
      <c r="D147" s="42"/>
      <c r="E147" s="42"/>
      <c r="F147" s="42"/>
      <c r="G147" s="42"/>
      <c r="H147" s="42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</row>
    <row r="148">
      <c r="A148" s="42"/>
      <c r="B148" s="42"/>
      <c r="C148" s="42"/>
      <c r="D148" s="42"/>
      <c r="E148" s="42"/>
      <c r="F148" s="42"/>
      <c r="G148" s="42"/>
      <c r="H148" s="42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</row>
    <row r="149">
      <c r="A149" s="42"/>
      <c r="B149" s="42"/>
      <c r="C149" s="42"/>
      <c r="D149" s="42"/>
      <c r="E149" s="42"/>
      <c r="F149" s="42"/>
      <c r="G149" s="42"/>
      <c r="H149" s="42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</row>
    <row r="150">
      <c r="A150" s="42"/>
      <c r="B150" s="42"/>
      <c r="C150" s="42"/>
      <c r="D150" s="42"/>
      <c r="E150" s="42"/>
      <c r="F150" s="42"/>
      <c r="G150" s="42"/>
      <c r="H150" s="42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</row>
    <row r="151">
      <c r="A151" s="42"/>
      <c r="B151" s="42"/>
      <c r="C151" s="42"/>
      <c r="D151" s="42"/>
      <c r="E151" s="42"/>
      <c r="F151" s="42"/>
      <c r="G151" s="42"/>
      <c r="H151" s="42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</row>
    <row r="152">
      <c r="A152" s="42"/>
      <c r="B152" s="42"/>
      <c r="C152" s="42"/>
      <c r="D152" s="42"/>
      <c r="E152" s="42"/>
      <c r="F152" s="42"/>
      <c r="G152" s="42"/>
      <c r="H152" s="42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</row>
    <row r="153">
      <c r="A153" s="42"/>
      <c r="B153" s="42"/>
      <c r="C153" s="42"/>
      <c r="D153" s="42"/>
      <c r="E153" s="42"/>
      <c r="F153" s="42"/>
      <c r="G153" s="42"/>
      <c r="H153" s="42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</row>
    <row r="154">
      <c r="A154" s="42"/>
      <c r="B154" s="42"/>
      <c r="C154" s="42"/>
      <c r="D154" s="42"/>
      <c r="E154" s="42"/>
      <c r="F154" s="42"/>
      <c r="G154" s="42"/>
      <c r="H154" s="42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</row>
    <row r="155">
      <c r="A155" s="42"/>
      <c r="B155" s="42"/>
      <c r="C155" s="42"/>
      <c r="D155" s="42"/>
      <c r="E155" s="42"/>
      <c r="F155" s="42"/>
      <c r="G155" s="42"/>
      <c r="H155" s="42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</row>
    <row r="156">
      <c r="A156" s="42"/>
      <c r="B156" s="42"/>
      <c r="C156" s="42"/>
      <c r="D156" s="42"/>
      <c r="E156" s="42"/>
      <c r="F156" s="42"/>
      <c r="G156" s="42"/>
      <c r="H156" s="42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</row>
    <row r="157">
      <c r="A157" s="42"/>
      <c r="B157" s="42"/>
      <c r="C157" s="42"/>
      <c r="D157" s="42"/>
      <c r="E157" s="42"/>
      <c r="F157" s="42"/>
      <c r="G157" s="42"/>
      <c r="H157" s="42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</row>
    <row r="158">
      <c r="A158" s="42"/>
      <c r="B158" s="42"/>
      <c r="C158" s="42"/>
      <c r="D158" s="42"/>
      <c r="E158" s="42"/>
      <c r="F158" s="42"/>
      <c r="G158" s="42"/>
      <c r="H158" s="42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</row>
    <row r="159">
      <c r="A159" s="42"/>
      <c r="B159" s="42"/>
      <c r="C159" s="42"/>
      <c r="D159" s="42"/>
      <c r="E159" s="42"/>
      <c r="F159" s="42"/>
      <c r="G159" s="42"/>
      <c r="H159" s="42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</row>
    <row r="160">
      <c r="A160" s="42"/>
      <c r="B160" s="42"/>
      <c r="C160" s="42"/>
      <c r="D160" s="42"/>
      <c r="E160" s="42"/>
      <c r="F160" s="42"/>
      <c r="G160" s="42"/>
      <c r="H160" s="42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</row>
    <row r="161">
      <c r="A161" s="42"/>
      <c r="B161" s="42"/>
      <c r="C161" s="42"/>
      <c r="D161" s="42"/>
      <c r="E161" s="42"/>
      <c r="F161" s="42"/>
      <c r="G161" s="42"/>
      <c r="H161" s="42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</row>
    <row r="162">
      <c r="A162" s="42"/>
      <c r="B162" s="42"/>
      <c r="C162" s="42"/>
      <c r="D162" s="42"/>
      <c r="E162" s="42"/>
      <c r="F162" s="42"/>
      <c r="G162" s="42"/>
      <c r="H162" s="42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</row>
    <row r="163">
      <c r="A163" s="42"/>
      <c r="B163" s="42"/>
      <c r="C163" s="42"/>
      <c r="D163" s="42"/>
      <c r="E163" s="42"/>
      <c r="F163" s="42"/>
      <c r="G163" s="42"/>
      <c r="H163" s="42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</row>
    <row r="164">
      <c r="A164" s="42"/>
      <c r="B164" s="42"/>
      <c r="C164" s="42"/>
      <c r="D164" s="42"/>
      <c r="E164" s="42"/>
      <c r="F164" s="42"/>
      <c r="G164" s="42"/>
      <c r="H164" s="42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</row>
    <row r="165">
      <c r="A165" s="42"/>
      <c r="B165" s="42"/>
      <c r="C165" s="42"/>
      <c r="D165" s="42"/>
      <c r="E165" s="42"/>
      <c r="F165" s="42"/>
      <c r="G165" s="42"/>
      <c r="H165" s="42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</row>
    <row r="166">
      <c r="A166" s="42"/>
      <c r="B166" s="42"/>
      <c r="C166" s="42"/>
      <c r="D166" s="42"/>
      <c r="E166" s="42"/>
      <c r="F166" s="42"/>
      <c r="G166" s="42"/>
      <c r="H166" s="42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</row>
    <row r="167">
      <c r="A167" s="42"/>
      <c r="B167" s="42"/>
      <c r="C167" s="42"/>
      <c r="D167" s="42"/>
      <c r="E167" s="42"/>
      <c r="F167" s="42"/>
      <c r="G167" s="42"/>
      <c r="H167" s="42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</row>
    <row r="168">
      <c r="A168" s="42"/>
      <c r="B168" s="42"/>
      <c r="C168" s="42"/>
      <c r="D168" s="42"/>
      <c r="E168" s="42"/>
      <c r="F168" s="42"/>
      <c r="G168" s="42"/>
      <c r="H168" s="42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</row>
    <row r="169">
      <c r="A169" s="42"/>
      <c r="B169" s="42"/>
      <c r="C169" s="42"/>
      <c r="D169" s="42"/>
      <c r="E169" s="42"/>
      <c r="F169" s="42"/>
      <c r="G169" s="42"/>
      <c r="H169" s="42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</row>
    <row r="170">
      <c r="A170" s="42"/>
      <c r="B170" s="42"/>
      <c r="C170" s="42"/>
      <c r="D170" s="42"/>
      <c r="E170" s="42"/>
      <c r="F170" s="42"/>
      <c r="G170" s="42"/>
      <c r="H170" s="42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</row>
    <row r="171">
      <c r="A171" s="42"/>
      <c r="B171" s="42"/>
      <c r="C171" s="42"/>
      <c r="D171" s="42"/>
      <c r="E171" s="42"/>
      <c r="F171" s="42"/>
      <c r="G171" s="42"/>
      <c r="H171" s="42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</row>
    <row r="172">
      <c r="A172" s="42"/>
      <c r="B172" s="42"/>
      <c r="C172" s="42"/>
      <c r="D172" s="42"/>
      <c r="E172" s="42"/>
      <c r="F172" s="42"/>
      <c r="G172" s="42"/>
      <c r="H172" s="42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</row>
    <row r="173">
      <c r="A173" s="42"/>
      <c r="B173" s="42"/>
      <c r="C173" s="42"/>
      <c r="D173" s="42"/>
      <c r="E173" s="42"/>
      <c r="F173" s="42"/>
      <c r="G173" s="42"/>
      <c r="H173" s="42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</row>
    <row r="174">
      <c r="A174" s="42"/>
      <c r="B174" s="42"/>
      <c r="C174" s="42"/>
      <c r="D174" s="42"/>
      <c r="E174" s="42"/>
      <c r="F174" s="42"/>
      <c r="G174" s="42"/>
      <c r="H174" s="42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</row>
    <row r="175">
      <c r="A175" s="42"/>
      <c r="B175" s="42"/>
      <c r="C175" s="42"/>
      <c r="D175" s="42"/>
      <c r="E175" s="42"/>
      <c r="F175" s="42"/>
      <c r="G175" s="42"/>
      <c r="H175" s="42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</row>
    <row r="176">
      <c r="A176" s="42"/>
      <c r="B176" s="42"/>
      <c r="C176" s="42"/>
      <c r="D176" s="42"/>
      <c r="E176" s="42"/>
      <c r="F176" s="42"/>
      <c r="G176" s="42"/>
      <c r="H176" s="42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</row>
    <row r="177">
      <c r="A177" s="42"/>
      <c r="B177" s="42"/>
      <c r="C177" s="42"/>
      <c r="D177" s="42"/>
      <c r="E177" s="42"/>
      <c r="F177" s="42"/>
      <c r="G177" s="42"/>
      <c r="H177" s="42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</row>
    <row r="178">
      <c r="A178" s="42"/>
      <c r="B178" s="42"/>
      <c r="C178" s="42"/>
      <c r="D178" s="42"/>
      <c r="E178" s="42"/>
      <c r="F178" s="42"/>
      <c r="G178" s="42"/>
      <c r="H178" s="42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</row>
    <row r="179">
      <c r="A179" s="42"/>
      <c r="B179" s="42"/>
      <c r="C179" s="42"/>
      <c r="D179" s="42"/>
      <c r="E179" s="42"/>
      <c r="F179" s="42"/>
      <c r="G179" s="42"/>
      <c r="H179" s="42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</row>
    <row r="180">
      <c r="A180" s="42"/>
      <c r="B180" s="42"/>
      <c r="C180" s="42"/>
      <c r="D180" s="42"/>
      <c r="E180" s="42"/>
      <c r="F180" s="42"/>
      <c r="G180" s="42"/>
      <c r="H180" s="42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</row>
    <row r="181">
      <c r="A181" s="42"/>
      <c r="B181" s="42"/>
      <c r="C181" s="42"/>
      <c r="D181" s="42"/>
      <c r="E181" s="42"/>
      <c r="F181" s="42"/>
      <c r="G181" s="42"/>
      <c r="H181" s="42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</row>
    <row r="182">
      <c r="A182" s="42"/>
      <c r="B182" s="42"/>
      <c r="C182" s="42"/>
      <c r="D182" s="42"/>
      <c r="E182" s="42"/>
      <c r="F182" s="42"/>
      <c r="G182" s="42"/>
      <c r="H182" s="42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</row>
    <row r="183">
      <c r="A183" s="42"/>
      <c r="B183" s="42"/>
      <c r="C183" s="42"/>
      <c r="D183" s="42"/>
      <c r="E183" s="42"/>
      <c r="F183" s="42"/>
      <c r="G183" s="42"/>
      <c r="H183" s="42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</row>
    <row r="184">
      <c r="A184" s="42"/>
      <c r="B184" s="42"/>
      <c r="C184" s="42"/>
      <c r="D184" s="42"/>
      <c r="E184" s="42"/>
      <c r="F184" s="42"/>
      <c r="G184" s="42"/>
      <c r="H184" s="42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</row>
    <row r="185">
      <c r="A185" s="42"/>
      <c r="B185" s="42"/>
      <c r="C185" s="42"/>
      <c r="D185" s="42"/>
      <c r="E185" s="42"/>
      <c r="F185" s="42"/>
      <c r="G185" s="42"/>
      <c r="H185" s="42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</row>
    <row r="186">
      <c r="A186" s="42"/>
      <c r="B186" s="42"/>
      <c r="C186" s="42"/>
      <c r="D186" s="42"/>
      <c r="E186" s="42"/>
      <c r="F186" s="42"/>
      <c r="G186" s="42"/>
      <c r="H186" s="42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</row>
    <row r="187">
      <c r="A187" s="42"/>
      <c r="B187" s="42"/>
      <c r="C187" s="42"/>
      <c r="D187" s="42"/>
      <c r="E187" s="42"/>
      <c r="F187" s="42"/>
      <c r="G187" s="42"/>
      <c r="H187" s="42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</row>
    <row r="188">
      <c r="A188" s="42"/>
      <c r="B188" s="42"/>
      <c r="C188" s="42"/>
      <c r="D188" s="42"/>
      <c r="E188" s="42"/>
      <c r="F188" s="42"/>
      <c r="G188" s="42"/>
      <c r="H188" s="42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</row>
    <row r="189">
      <c r="A189" s="42"/>
      <c r="B189" s="42"/>
      <c r="C189" s="42"/>
      <c r="D189" s="42"/>
      <c r="E189" s="42"/>
      <c r="F189" s="42"/>
      <c r="G189" s="42"/>
      <c r="H189" s="42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</row>
    <row r="190">
      <c r="A190" s="42"/>
      <c r="B190" s="42"/>
      <c r="C190" s="42"/>
      <c r="D190" s="42"/>
      <c r="E190" s="42"/>
      <c r="F190" s="42"/>
      <c r="G190" s="42"/>
      <c r="H190" s="42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</row>
    <row r="191">
      <c r="A191" s="42"/>
      <c r="B191" s="42"/>
      <c r="C191" s="42"/>
      <c r="D191" s="42"/>
      <c r="E191" s="42"/>
      <c r="F191" s="42"/>
      <c r="G191" s="42"/>
      <c r="H191" s="42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</row>
    <row r="192">
      <c r="A192" s="42"/>
      <c r="B192" s="42"/>
      <c r="C192" s="42"/>
      <c r="D192" s="42"/>
      <c r="E192" s="42"/>
      <c r="F192" s="42"/>
      <c r="G192" s="42"/>
      <c r="H192" s="42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</row>
    <row r="193">
      <c r="A193" s="42"/>
      <c r="B193" s="42"/>
      <c r="C193" s="42"/>
      <c r="D193" s="42"/>
      <c r="E193" s="42"/>
      <c r="F193" s="42"/>
      <c r="G193" s="42"/>
      <c r="H193" s="42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</row>
    <row r="194">
      <c r="A194" s="42"/>
      <c r="B194" s="42"/>
      <c r="C194" s="42"/>
      <c r="D194" s="42"/>
      <c r="E194" s="42"/>
      <c r="F194" s="42"/>
      <c r="G194" s="42"/>
      <c r="H194" s="42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</row>
    <row r="195">
      <c r="A195" s="42"/>
      <c r="B195" s="42"/>
      <c r="C195" s="42"/>
      <c r="D195" s="42"/>
      <c r="E195" s="42"/>
      <c r="F195" s="42"/>
      <c r="G195" s="42"/>
      <c r="H195" s="42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</row>
    <row r="196">
      <c r="A196" s="42"/>
      <c r="B196" s="42"/>
      <c r="C196" s="42"/>
      <c r="D196" s="42"/>
      <c r="E196" s="42"/>
      <c r="F196" s="42"/>
      <c r="G196" s="42"/>
      <c r="H196" s="42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</row>
    <row r="197">
      <c r="A197" s="42"/>
      <c r="B197" s="42"/>
      <c r="C197" s="42"/>
      <c r="D197" s="42"/>
      <c r="E197" s="42"/>
      <c r="F197" s="42"/>
      <c r="G197" s="42"/>
      <c r="H197" s="42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</row>
    <row r="198">
      <c r="A198" s="42"/>
      <c r="B198" s="42"/>
      <c r="C198" s="42"/>
      <c r="D198" s="42"/>
      <c r="E198" s="42"/>
      <c r="F198" s="42"/>
      <c r="G198" s="42"/>
      <c r="H198" s="42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</row>
    <row r="199">
      <c r="A199" s="42"/>
      <c r="B199" s="42"/>
      <c r="C199" s="42"/>
      <c r="D199" s="42"/>
      <c r="E199" s="42"/>
      <c r="F199" s="42"/>
      <c r="G199" s="42"/>
      <c r="H199" s="42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</row>
    <row r="200">
      <c r="A200" s="42"/>
      <c r="B200" s="42"/>
      <c r="C200" s="42"/>
      <c r="D200" s="42"/>
      <c r="E200" s="42"/>
      <c r="F200" s="42"/>
      <c r="G200" s="42"/>
      <c r="H200" s="42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</row>
    <row r="201">
      <c r="A201" s="42"/>
      <c r="B201" s="42"/>
      <c r="C201" s="42"/>
      <c r="D201" s="42"/>
      <c r="E201" s="42"/>
      <c r="F201" s="42"/>
      <c r="G201" s="42"/>
      <c r="H201" s="42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</row>
    <row r="202">
      <c r="A202" s="42"/>
      <c r="B202" s="42"/>
      <c r="C202" s="42"/>
      <c r="D202" s="42"/>
      <c r="E202" s="42"/>
      <c r="F202" s="42"/>
      <c r="G202" s="42"/>
      <c r="H202" s="42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</row>
    <row r="203">
      <c r="A203" s="42"/>
      <c r="B203" s="42"/>
      <c r="C203" s="42"/>
      <c r="D203" s="42"/>
      <c r="E203" s="42"/>
      <c r="F203" s="42"/>
      <c r="G203" s="42"/>
      <c r="H203" s="42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</row>
    <row r="204">
      <c r="A204" s="42"/>
      <c r="B204" s="42"/>
      <c r="C204" s="42"/>
      <c r="D204" s="42"/>
      <c r="E204" s="42"/>
      <c r="F204" s="42"/>
      <c r="G204" s="42"/>
      <c r="H204" s="42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</row>
    <row r="205">
      <c r="A205" s="42"/>
      <c r="B205" s="42"/>
      <c r="C205" s="42"/>
      <c r="D205" s="42"/>
      <c r="E205" s="42"/>
      <c r="F205" s="42"/>
      <c r="G205" s="42"/>
      <c r="H205" s="42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</row>
    <row r="206">
      <c r="A206" s="42"/>
      <c r="B206" s="42"/>
      <c r="C206" s="42"/>
      <c r="D206" s="42"/>
      <c r="E206" s="42"/>
      <c r="F206" s="42"/>
      <c r="G206" s="42"/>
      <c r="H206" s="42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</row>
    <row r="207">
      <c r="A207" s="42"/>
      <c r="B207" s="42"/>
      <c r="C207" s="42"/>
      <c r="D207" s="42"/>
      <c r="E207" s="42"/>
      <c r="F207" s="42"/>
      <c r="G207" s="42"/>
      <c r="H207" s="42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</row>
    <row r="208">
      <c r="A208" s="42"/>
      <c r="B208" s="42"/>
      <c r="C208" s="42"/>
      <c r="D208" s="42"/>
      <c r="E208" s="42"/>
      <c r="F208" s="42"/>
      <c r="G208" s="42"/>
      <c r="H208" s="42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</row>
    <row r="209">
      <c r="A209" s="42"/>
      <c r="B209" s="42"/>
      <c r="C209" s="42"/>
      <c r="D209" s="42"/>
      <c r="E209" s="42"/>
      <c r="F209" s="42"/>
      <c r="G209" s="42"/>
      <c r="H209" s="42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</row>
    <row r="210">
      <c r="A210" s="42"/>
      <c r="B210" s="42"/>
      <c r="C210" s="42"/>
      <c r="D210" s="42"/>
      <c r="E210" s="42"/>
      <c r="F210" s="42"/>
      <c r="G210" s="42"/>
      <c r="H210" s="42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</row>
    <row r="211">
      <c r="A211" s="42"/>
      <c r="B211" s="42"/>
      <c r="C211" s="42"/>
      <c r="D211" s="42"/>
      <c r="E211" s="42"/>
      <c r="F211" s="42"/>
      <c r="G211" s="42"/>
      <c r="H211" s="42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</row>
    <row r="212">
      <c r="A212" s="42"/>
      <c r="B212" s="42"/>
      <c r="C212" s="42"/>
      <c r="D212" s="42"/>
      <c r="E212" s="42"/>
      <c r="F212" s="42"/>
      <c r="G212" s="42"/>
      <c r="H212" s="42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</row>
    <row r="213">
      <c r="A213" s="42"/>
      <c r="B213" s="42"/>
      <c r="C213" s="42"/>
      <c r="D213" s="42"/>
      <c r="E213" s="42"/>
      <c r="F213" s="42"/>
      <c r="G213" s="42"/>
      <c r="H213" s="42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</row>
    <row r="214">
      <c r="A214" s="42"/>
      <c r="B214" s="42"/>
      <c r="C214" s="42"/>
      <c r="D214" s="42"/>
      <c r="E214" s="42"/>
      <c r="F214" s="42"/>
      <c r="G214" s="42"/>
      <c r="H214" s="42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</row>
    <row r="215">
      <c r="A215" s="42"/>
      <c r="B215" s="42"/>
      <c r="C215" s="42"/>
      <c r="D215" s="42"/>
      <c r="E215" s="42"/>
      <c r="F215" s="42"/>
      <c r="G215" s="42"/>
      <c r="H215" s="42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</row>
    <row r="216">
      <c r="A216" s="42"/>
      <c r="B216" s="42"/>
      <c r="C216" s="42"/>
      <c r="D216" s="42"/>
      <c r="E216" s="42"/>
      <c r="F216" s="42"/>
      <c r="G216" s="42"/>
      <c r="H216" s="42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</row>
    <row r="217">
      <c r="A217" s="42"/>
      <c r="B217" s="42"/>
      <c r="C217" s="42"/>
      <c r="D217" s="42"/>
      <c r="E217" s="42"/>
      <c r="F217" s="42"/>
      <c r="G217" s="42"/>
      <c r="H217" s="42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</row>
    <row r="218">
      <c r="A218" s="42"/>
      <c r="B218" s="42"/>
      <c r="C218" s="42"/>
      <c r="D218" s="42"/>
      <c r="E218" s="42"/>
      <c r="F218" s="42"/>
      <c r="G218" s="42"/>
      <c r="H218" s="42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</row>
    <row r="219">
      <c r="A219" s="42"/>
      <c r="B219" s="42"/>
      <c r="C219" s="42"/>
      <c r="D219" s="42"/>
      <c r="E219" s="42"/>
      <c r="F219" s="42"/>
      <c r="G219" s="42"/>
      <c r="H219" s="42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</row>
    <row r="220">
      <c r="A220" s="42"/>
      <c r="B220" s="42"/>
      <c r="C220" s="42"/>
      <c r="D220" s="42"/>
      <c r="E220" s="42"/>
      <c r="F220" s="42"/>
      <c r="G220" s="42"/>
      <c r="H220" s="42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</row>
    <row r="221">
      <c r="A221" s="42"/>
      <c r="B221" s="42"/>
      <c r="C221" s="42"/>
      <c r="D221" s="42"/>
      <c r="E221" s="42"/>
      <c r="F221" s="42"/>
      <c r="G221" s="42"/>
      <c r="H221" s="42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</row>
    <row r="222">
      <c r="A222" s="42"/>
      <c r="B222" s="42"/>
      <c r="C222" s="42"/>
      <c r="D222" s="42"/>
      <c r="E222" s="42"/>
      <c r="F222" s="42"/>
      <c r="G222" s="42"/>
      <c r="H222" s="42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</row>
    <row r="223">
      <c r="A223" s="42"/>
      <c r="B223" s="42"/>
      <c r="C223" s="42"/>
      <c r="D223" s="42"/>
      <c r="E223" s="42"/>
      <c r="F223" s="42"/>
      <c r="G223" s="42"/>
      <c r="H223" s="42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</row>
    <row r="224">
      <c r="A224" s="42"/>
      <c r="B224" s="42"/>
      <c r="C224" s="42"/>
      <c r="D224" s="42"/>
      <c r="E224" s="42"/>
      <c r="F224" s="42"/>
      <c r="G224" s="42"/>
      <c r="H224" s="42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</row>
    <row r="225">
      <c r="A225" s="42"/>
      <c r="B225" s="42"/>
      <c r="C225" s="42"/>
      <c r="D225" s="42"/>
      <c r="E225" s="42"/>
      <c r="F225" s="42"/>
      <c r="G225" s="42"/>
      <c r="H225" s="42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</row>
    <row r="226">
      <c r="A226" s="42"/>
      <c r="B226" s="42"/>
      <c r="C226" s="42"/>
      <c r="D226" s="42"/>
      <c r="E226" s="42"/>
      <c r="F226" s="42"/>
      <c r="G226" s="42"/>
      <c r="H226" s="42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</row>
    <row r="227">
      <c r="A227" s="42"/>
      <c r="B227" s="42"/>
      <c r="C227" s="42"/>
      <c r="D227" s="42"/>
      <c r="E227" s="42"/>
      <c r="F227" s="42"/>
      <c r="G227" s="42"/>
      <c r="H227" s="42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</row>
    <row r="228">
      <c r="A228" s="42"/>
      <c r="B228" s="42"/>
      <c r="C228" s="42"/>
      <c r="D228" s="42"/>
      <c r="E228" s="42"/>
      <c r="F228" s="42"/>
      <c r="G228" s="42"/>
      <c r="H228" s="42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</row>
    <row r="229">
      <c r="A229" s="42"/>
      <c r="B229" s="42"/>
      <c r="C229" s="42"/>
      <c r="D229" s="42"/>
      <c r="E229" s="42"/>
      <c r="F229" s="42"/>
      <c r="G229" s="42"/>
      <c r="H229" s="42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</row>
    <row r="230">
      <c r="A230" s="42"/>
      <c r="B230" s="42"/>
      <c r="C230" s="42"/>
      <c r="D230" s="42"/>
      <c r="E230" s="42"/>
      <c r="F230" s="42"/>
      <c r="G230" s="42"/>
      <c r="H230" s="42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</row>
    <row r="231">
      <c r="A231" s="42"/>
      <c r="B231" s="42"/>
      <c r="C231" s="42"/>
      <c r="D231" s="42"/>
      <c r="E231" s="42"/>
      <c r="F231" s="42"/>
      <c r="G231" s="42"/>
      <c r="H231" s="42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</row>
    <row r="232">
      <c r="A232" s="42"/>
      <c r="B232" s="42"/>
      <c r="C232" s="42"/>
      <c r="D232" s="42"/>
      <c r="E232" s="42"/>
      <c r="F232" s="42"/>
      <c r="G232" s="42"/>
      <c r="H232" s="42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</row>
    <row r="233">
      <c r="A233" s="42"/>
      <c r="B233" s="42"/>
      <c r="C233" s="42"/>
      <c r="D233" s="42"/>
      <c r="E233" s="42"/>
      <c r="F233" s="42"/>
      <c r="G233" s="42"/>
      <c r="H233" s="42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</row>
    <row r="234">
      <c r="A234" s="42"/>
      <c r="B234" s="42"/>
      <c r="C234" s="42"/>
      <c r="D234" s="42"/>
      <c r="E234" s="42"/>
      <c r="F234" s="42"/>
      <c r="G234" s="42"/>
      <c r="H234" s="42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</row>
    <row r="235">
      <c r="A235" s="42"/>
      <c r="B235" s="42"/>
      <c r="C235" s="42"/>
      <c r="D235" s="42"/>
      <c r="E235" s="42"/>
      <c r="F235" s="42"/>
      <c r="G235" s="42"/>
      <c r="H235" s="42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</row>
    <row r="236">
      <c r="A236" s="42"/>
      <c r="B236" s="42"/>
      <c r="C236" s="42"/>
      <c r="D236" s="42"/>
      <c r="E236" s="42"/>
      <c r="F236" s="42"/>
      <c r="G236" s="42"/>
      <c r="H236" s="42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</row>
    <row r="237">
      <c r="A237" s="42"/>
      <c r="B237" s="42"/>
      <c r="C237" s="42"/>
      <c r="D237" s="42"/>
      <c r="E237" s="42"/>
      <c r="F237" s="42"/>
      <c r="G237" s="42"/>
      <c r="H237" s="42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</row>
    <row r="238">
      <c r="A238" s="42"/>
      <c r="B238" s="42"/>
      <c r="C238" s="42"/>
      <c r="D238" s="42"/>
      <c r="E238" s="42"/>
      <c r="F238" s="42"/>
      <c r="G238" s="42"/>
      <c r="H238" s="42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</row>
    <row r="239">
      <c r="A239" s="42"/>
      <c r="B239" s="42"/>
      <c r="C239" s="42"/>
      <c r="D239" s="42"/>
      <c r="E239" s="42"/>
      <c r="F239" s="42"/>
      <c r="G239" s="42"/>
      <c r="H239" s="42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</row>
    <row r="240">
      <c r="A240" s="42"/>
      <c r="B240" s="42"/>
      <c r="C240" s="42"/>
      <c r="D240" s="42"/>
      <c r="E240" s="42"/>
      <c r="F240" s="42"/>
      <c r="G240" s="42"/>
      <c r="H240" s="42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</row>
    <row r="241">
      <c r="A241" s="42"/>
      <c r="B241" s="42"/>
      <c r="C241" s="42"/>
      <c r="D241" s="42"/>
      <c r="E241" s="42"/>
      <c r="F241" s="42"/>
      <c r="G241" s="42"/>
      <c r="H241" s="42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</row>
    <row r="242">
      <c r="A242" s="42"/>
      <c r="B242" s="42"/>
      <c r="C242" s="42"/>
      <c r="D242" s="42"/>
      <c r="E242" s="42"/>
      <c r="F242" s="42"/>
      <c r="G242" s="42"/>
      <c r="H242" s="42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</row>
    <row r="243">
      <c r="A243" s="42"/>
      <c r="B243" s="42"/>
      <c r="C243" s="42"/>
      <c r="D243" s="42"/>
      <c r="E243" s="42"/>
      <c r="F243" s="42"/>
      <c r="G243" s="42"/>
      <c r="H243" s="42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</row>
    <row r="244">
      <c r="A244" s="42"/>
      <c r="B244" s="42"/>
      <c r="C244" s="42"/>
      <c r="D244" s="42"/>
      <c r="E244" s="42"/>
      <c r="F244" s="42"/>
      <c r="G244" s="42"/>
      <c r="H244" s="42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</row>
    <row r="245">
      <c r="A245" s="42"/>
      <c r="B245" s="42"/>
      <c r="C245" s="42"/>
      <c r="D245" s="42"/>
      <c r="E245" s="42"/>
      <c r="F245" s="42"/>
      <c r="G245" s="42"/>
      <c r="H245" s="42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</row>
    <row r="246">
      <c r="A246" s="42"/>
      <c r="B246" s="42"/>
      <c r="C246" s="42"/>
      <c r="D246" s="42"/>
      <c r="E246" s="42"/>
      <c r="F246" s="42"/>
      <c r="G246" s="42"/>
      <c r="H246" s="42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</row>
    <row r="247">
      <c r="A247" s="42"/>
      <c r="B247" s="42"/>
      <c r="C247" s="42"/>
      <c r="D247" s="42"/>
      <c r="E247" s="42"/>
      <c r="F247" s="42"/>
      <c r="G247" s="42"/>
      <c r="H247" s="42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</row>
    <row r="248">
      <c r="A248" s="42"/>
      <c r="B248" s="42"/>
      <c r="C248" s="42"/>
      <c r="D248" s="42"/>
      <c r="E248" s="42"/>
      <c r="F248" s="42"/>
      <c r="G248" s="42"/>
      <c r="H248" s="42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</row>
    <row r="249">
      <c r="A249" s="42"/>
      <c r="B249" s="42"/>
      <c r="C249" s="42"/>
      <c r="D249" s="42"/>
      <c r="E249" s="42"/>
      <c r="F249" s="42"/>
      <c r="G249" s="42"/>
      <c r="H249" s="42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</row>
    <row r="250">
      <c r="A250" s="42"/>
      <c r="B250" s="42"/>
      <c r="C250" s="42"/>
      <c r="D250" s="42"/>
      <c r="E250" s="42"/>
      <c r="F250" s="42"/>
      <c r="G250" s="42"/>
      <c r="H250" s="42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</row>
    <row r="251">
      <c r="A251" s="42"/>
      <c r="B251" s="42"/>
      <c r="C251" s="42"/>
      <c r="D251" s="42"/>
      <c r="E251" s="42"/>
      <c r="F251" s="42"/>
      <c r="G251" s="42"/>
      <c r="H251" s="42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</row>
    <row r="252">
      <c r="A252" s="42"/>
      <c r="B252" s="42"/>
      <c r="C252" s="42"/>
      <c r="D252" s="42"/>
      <c r="E252" s="42"/>
      <c r="F252" s="42"/>
      <c r="G252" s="42"/>
      <c r="H252" s="42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</row>
    <row r="253">
      <c r="A253" s="42"/>
      <c r="B253" s="42"/>
      <c r="C253" s="42"/>
      <c r="D253" s="42"/>
      <c r="E253" s="42"/>
      <c r="F253" s="42"/>
      <c r="G253" s="42"/>
      <c r="H253" s="42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</row>
    <row r="254">
      <c r="A254" s="42"/>
      <c r="B254" s="42"/>
      <c r="C254" s="42"/>
      <c r="D254" s="42"/>
      <c r="E254" s="42"/>
      <c r="F254" s="42"/>
      <c r="G254" s="42"/>
      <c r="H254" s="42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</row>
    <row r="255">
      <c r="A255" s="42"/>
      <c r="B255" s="42"/>
      <c r="C255" s="42"/>
      <c r="D255" s="42"/>
      <c r="E255" s="42"/>
      <c r="F255" s="42"/>
      <c r="G255" s="42"/>
      <c r="H255" s="42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</row>
    <row r="256">
      <c r="A256" s="42"/>
      <c r="B256" s="42"/>
      <c r="C256" s="42"/>
      <c r="D256" s="42"/>
      <c r="E256" s="42"/>
      <c r="F256" s="42"/>
      <c r="G256" s="42"/>
      <c r="H256" s="42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</row>
    <row r="257">
      <c r="A257" s="42"/>
      <c r="B257" s="42"/>
      <c r="C257" s="42"/>
      <c r="D257" s="42"/>
      <c r="E257" s="42"/>
      <c r="F257" s="42"/>
      <c r="G257" s="42"/>
      <c r="H257" s="42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</row>
    <row r="258">
      <c r="A258" s="42"/>
      <c r="B258" s="42"/>
      <c r="C258" s="42"/>
      <c r="D258" s="42"/>
      <c r="E258" s="42"/>
      <c r="F258" s="42"/>
      <c r="G258" s="42"/>
      <c r="H258" s="42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</row>
    <row r="259">
      <c r="A259" s="42"/>
      <c r="B259" s="42"/>
      <c r="C259" s="42"/>
      <c r="D259" s="42"/>
      <c r="E259" s="42"/>
      <c r="F259" s="42"/>
      <c r="G259" s="42"/>
      <c r="H259" s="42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</row>
    <row r="260">
      <c r="A260" s="42"/>
      <c r="B260" s="42"/>
      <c r="C260" s="42"/>
      <c r="D260" s="42"/>
      <c r="E260" s="42"/>
      <c r="F260" s="42"/>
      <c r="G260" s="42"/>
      <c r="H260" s="42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</row>
    <row r="261">
      <c r="A261" s="42"/>
      <c r="B261" s="42"/>
      <c r="C261" s="42"/>
      <c r="D261" s="42"/>
      <c r="E261" s="42"/>
      <c r="F261" s="42"/>
      <c r="G261" s="42"/>
      <c r="H261" s="42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</row>
    <row r="262">
      <c r="A262" s="42"/>
      <c r="B262" s="42"/>
      <c r="C262" s="42"/>
      <c r="D262" s="42"/>
      <c r="E262" s="42"/>
      <c r="F262" s="42"/>
      <c r="G262" s="42"/>
      <c r="H262" s="42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</row>
    <row r="263">
      <c r="A263" s="42"/>
      <c r="B263" s="42"/>
      <c r="C263" s="42"/>
      <c r="D263" s="42"/>
      <c r="E263" s="42"/>
      <c r="F263" s="42"/>
      <c r="G263" s="42"/>
      <c r="H263" s="42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</row>
    <row r="264">
      <c r="A264" s="42"/>
      <c r="B264" s="42"/>
      <c r="C264" s="42"/>
      <c r="D264" s="42"/>
      <c r="E264" s="42"/>
      <c r="F264" s="42"/>
      <c r="G264" s="42"/>
      <c r="H264" s="42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</row>
    <row r="265">
      <c r="A265" s="42"/>
      <c r="B265" s="42"/>
      <c r="C265" s="42"/>
      <c r="D265" s="42"/>
      <c r="E265" s="42"/>
      <c r="F265" s="42"/>
      <c r="G265" s="42"/>
      <c r="H265" s="42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</row>
    <row r="266">
      <c r="A266" s="42"/>
      <c r="B266" s="42"/>
      <c r="C266" s="42"/>
      <c r="D266" s="42"/>
      <c r="E266" s="42"/>
      <c r="F266" s="42"/>
      <c r="G266" s="42"/>
      <c r="H266" s="42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</row>
    <row r="267">
      <c r="A267" s="42"/>
      <c r="B267" s="42"/>
      <c r="C267" s="42"/>
      <c r="D267" s="42"/>
      <c r="E267" s="42"/>
      <c r="F267" s="42"/>
      <c r="G267" s="42"/>
      <c r="H267" s="42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</row>
    <row r="268">
      <c r="A268" s="42"/>
      <c r="B268" s="42"/>
      <c r="C268" s="42"/>
      <c r="D268" s="42"/>
      <c r="E268" s="42"/>
      <c r="F268" s="42"/>
      <c r="G268" s="42"/>
      <c r="H268" s="42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</row>
    <row r="269">
      <c r="A269" s="42"/>
      <c r="B269" s="42"/>
      <c r="C269" s="42"/>
      <c r="D269" s="42"/>
      <c r="E269" s="42"/>
      <c r="F269" s="42"/>
      <c r="G269" s="42"/>
      <c r="H269" s="42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</row>
    <row r="270">
      <c r="A270" s="42"/>
      <c r="B270" s="42"/>
      <c r="C270" s="42"/>
      <c r="D270" s="42"/>
      <c r="E270" s="42"/>
      <c r="F270" s="42"/>
      <c r="G270" s="42"/>
      <c r="H270" s="42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</row>
    <row r="271">
      <c r="A271" s="42"/>
      <c r="B271" s="42"/>
      <c r="C271" s="42"/>
      <c r="D271" s="42"/>
      <c r="E271" s="42"/>
      <c r="F271" s="42"/>
      <c r="G271" s="42"/>
      <c r="H271" s="42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</row>
    <row r="272">
      <c r="A272" s="42"/>
      <c r="B272" s="42"/>
      <c r="C272" s="42"/>
      <c r="D272" s="42"/>
      <c r="E272" s="42"/>
      <c r="F272" s="42"/>
      <c r="G272" s="42"/>
      <c r="H272" s="42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</row>
    <row r="273">
      <c r="A273" s="42"/>
      <c r="B273" s="42"/>
      <c r="C273" s="42"/>
      <c r="D273" s="42"/>
      <c r="E273" s="42"/>
      <c r="F273" s="42"/>
      <c r="G273" s="42"/>
      <c r="H273" s="42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</row>
    <row r="274">
      <c r="A274" s="42"/>
      <c r="B274" s="42"/>
      <c r="C274" s="42"/>
      <c r="D274" s="42"/>
      <c r="E274" s="42"/>
      <c r="F274" s="42"/>
      <c r="G274" s="42"/>
      <c r="H274" s="42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</row>
    <row r="275">
      <c r="A275" s="42"/>
      <c r="B275" s="42"/>
      <c r="C275" s="42"/>
      <c r="D275" s="42"/>
      <c r="E275" s="42"/>
      <c r="F275" s="42"/>
      <c r="G275" s="42"/>
      <c r="H275" s="42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</row>
    <row r="276">
      <c r="A276" s="42"/>
      <c r="B276" s="42"/>
      <c r="C276" s="42"/>
      <c r="D276" s="42"/>
      <c r="E276" s="42"/>
      <c r="F276" s="42"/>
      <c r="G276" s="42"/>
      <c r="H276" s="42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</row>
    <row r="277">
      <c r="A277" s="42"/>
      <c r="B277" s="42"/>
      <c r="C277" s="42"/>
      <c r="D277" s="42"/>
      <c r="E277" s="42"/>
      <c r="F277" s="42"/>
      <c r="G277" s="42"/>
      <c r="H277" s="42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</row>
    <row r="278">
      <c r="A278" s="42"/>
      <c r="B278" s="42"/>
      <c r="C278" s="42"/>
      <c r="D278" s="42"/>
      <c r="E278" s="42"/>
      <c r="F278" s="42"/>
      <c r="G278" s="42"/>
      <c r="H278" s="42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</row>
    <row r="279">
      <c r="A279" s="42"/>
      <c r="B279" s="42"/>
      <c r="C279" s="42"/>
      <c r="D279" s="42"/>
      <c r="E279" s="42"/>
      <c r="F279" s="42"/>
      <c r="G279" s="42"/>
      <c r="H279" s="42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</row>
    <row r="280">
      <c r="A280" s="42"/>
      <c r="B280" s="42"/>
      <c r="C280" s="42"/>
      <c r="D280" s="42"/>
      <c r="E280" s="42"/>
      <c r="F280" s="42"/>
      <c r="G280" s="42"/>
      <c r="H280" s="42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</row>
    <row r="281">
      <c r="A281" s="42"/>
      <c r="B281" s="42"/>
      <c r="C281" s="42"/>
      <c r="D281" s="42"/>
      <c r="E281" s="42"/>
      <c r="F281" s="42"/>
      <c r="G281" s="42"/>
      <c r="H281" s="42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</row>
    <row r="282">
      <c r="A282" s="42"/>
      <c r="B282" s="42"/>
      <c r="C282" s="42"/>
      <c r="D282" s="42"/>
      <c r="E282" s="42"/>
      <c r="F282" s="42"/>
      <c r="G282" s="42"/>
      <c r="H282" s="42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</row>
    <row r="283">
      <c r="A283" s="42"/>
      <c r="B283" s="42"/>
      <c r="C283" s="42"/>
      <c r="D283" s="42"/>
      <c r="E283" s="42"/>
      <c r="F283" s="42"/>
      <c r="G283" s="42"/>
      <c r="H283" s="42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</row>
    <row r="284">
      <c r="A284" s="42"/>
      <c r="B284" s="42"/>
      <c r="C284" s="42"/>
      <c r="D284" s="42"/>
      <c r="E284" s="42"/>
      <c r="F284" s="42"/>
      <c r="G284" s="42"/>
      <c r="H284" s="42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</row>
    <row r="285">
      <c r="A285" s="42"/>
      <c r="B285" s="42"/>
      <c r="C285" s="42"/>
      <c r="D285" s="42"/>
      <c r="E285" s="42"/>
      <c r="F285" s="42"/>
      <c r="G285" s="42"/>
      <c r="H285" s="42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</row>
    <row r="286">
      <c r="A286" s="42"/>
      <c r="B286" s="42"/>
      <c r="C286" s="42"/>
      <c r="D286" s="42"/>
      <c r="E286" s="42"/>
      <c r="F286" s="42"/>
      <c r="G286" s="42"/>
      <c r="H286" s="42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</row>
    <row r="287">
      <c r="A287" s="42"/>
      <c r="B287" s="42"/>
      <c r="C287" s="42"/>
      <c r="D287" s="42"/>
      <c r="E287" s="42"/>
      <c r="F287" s="42"/>
      <c r="G287" s="42"/>
      <c r="H287" s="42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</row>
    <row r="288">
      <c r="A288" s="42"/>
      <c r="B288" s="42"/>
      <c r="C288" s="42"/>
      <c r="D288" s="42"/>
      <c r="E288" s="42"/>
      <c r="F288" s="42"/>
      <c r="G288" s="42"/>
      <c r="H288" s="42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</row>
    <row r="289">
      <c r="A289" s="42"/>
      <c r="B289" s="42"/>
      <c r="C289" s="42"/>
      <c r="D289" s="42"/>
      <c r="E289" s="42"/>
      <c r="F289" s="42"/>
      <c r="G289" s="42"/>
      <c r="H289" s="42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</row>
    <row r="290">
      <c r="A290" s="42"/>
      <c r="B290" s="42"/>
      <c r="C290" s="42"/>
      <c r="D290" s="42"/>
      <c r="E290" s="42"/>
      <c r="F290" s="42"/>
      <c r="G290" s="42"/>
      <c r="H290" s="42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</row>
    <row r="291">
      <c r="A291" s="42"/>
      <c r="B291" s="42"/>
      <c r="C291" s="42"/>
      <c r="D291" s="42"/>
      <c r="E291" s="42"/>
      <c r="F291" s="42"/>
      <c r="G291" s="42"/>
      <c r="H291" s="42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</row>
    <row r="292">
      <c r="A292" s="42"/>
      <c r="B292" s="42"/>
      <c r="C292" s="42"/>
      <c r="D292" s="42"/>
      <c r="E292" s="42"/>
      <c r="F292" s="42"/>
      <c r="G292" s="42"/>
      <c r="H292" s="42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</row>
    <row r="293">
      <c r="A293" s="42"/>
      <c r="B293" s="42"/>
      <c r="C293" s="42"/>
      <c r="D293" s="42"/>
      <c r="E293" s="42"/>
      <c r="F293" s="42"/>
      <c r="G293" s="42"/>
      <c r="H293" s="42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</row>
    <row r="294">
      <c r="A294" s="42"/>
      <c r="B294" s="42"/>
      <c r="C294" s="42"/>
      <c r="D294" s="42"/>
      <c r="E294" s="42"/>
      <c r="F294" s="42"/>
      <c r="G294" s="42"/>
      <c r="H294" s="42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</row>
    <row r="295">
      <c r="A295" s="42"/>
      <c r="B295" s="42"/>
      <c r="C295" s="42"/>
      <c r="D295" s="42"/>
      <c r="E295" s="42"/>
      <c r="F295" s="42"/>
      <c r="G295" s="42"/>
      <c r="H295" s="42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</row>
    <row r="296">
      <c r="A296" s="42"/>
      <c r="B296" s="42"/>
      <c r="C296" s="42"/>
      <c r="D296" s="42"/>
      <c r="E296" s="42"/>
      <c r="F296" s="42"/>
      <c r="G296" s="42"/>
      <c r="H296" s="42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</row>
    <row r="297">
      <c r="A297" s="42"/>
      <c r="B297" s="42"/>
      <c r="C297" s="42"/>
      <c r="D297" s="42"/>
      <c r="E297" s="42"/>
      <c r="F297" s="42"/>
      <c r="G297" s="42"/>
      <c r="H297" s="42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</row>
    <row r="298">
      <c r="A298" s="42"/>
      <c r="B298" s="42"/>
      <c r="C298" s="42"/>
      <c r="D298" s="42"/>
      <c r="E298" s="42"/>
      <c r="F298" s="42"/>
      <c r="G298" s="42"/>
      <c r="H298" s="42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</row>
    <row r="299">
      <c r="A299" s="42"/>
      <c r="B299" s="42"/>
      <c r="C299" s="42"/>
      <c r="D299" s="42"/>
      <c r="E299" s="42"/>
      <c r="F299" s="42"/>
      <c r="G299" s="42"/>
      <c r="H299" s="42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</row>
    <row r="300">
      <c r="A300" s="42"/>
      <c r="B300" s="42"/>
      <c r="C300" s="42"/>
      <c r="D300" s="42"/>
      <c r="E300" s="42"/>
      <c r="F300" s="42"/>
      <c r="G300" s="42"/>
      <c r="H300" s="42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</row>
    <row r="301">
      <c r="A301" s="42"/>
      <c r="B301" s="42"/>
      <c r="C301" s="42"/>
      <c r="D301" s="42"/>
      <c r="E301" s="42"/>
      <c r="F301" s="42"/>
      <c r="G301" s="42"/>
      <c r="H301" s="42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</row>
    <row r="302">
      <c r="A302" s="42"/>
      <c r="B302" s="42"/>
      <c r="C302" s="42"/>
      <c r="D302" s="42"/>
      <c r="E302" s="42"/>
      <c r="F302" s="42"/>
      <c r="G302" s="42"/>
      <c r="H302" s="42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</row>
    <row r="303">
      <c r="A303" s="42"/>
      <c r="B303" s="42"/>
      <c r="C303" s="42"/>
      <c r="D303" s="42"/>
      <c r="E303" s="42"/>
      <c r="F303" s="42"/>
      <c r="G303" s="42"/>
      <c r="H303" s="42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</row>
    <row r="304">
      <c r="A304" s="42"/>
      <c r="B304" s="42"/>
      <c r="C304" s="42"/>
      <c r="D304" s="42"/>
      <c r="E304" s="42"/>
      <c r="F304" s="42"/>
      <c r="G304" s="42"/>
      <c r="H304" s="42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</row>
    <row r="305">
      <c r="A305" s="42"/>
      <c r="B305" s="42"/>
      <c r="C305" s="42"/>
      <c r="D305" s="42"/>
      <c r="E305" s="42"/>
      <c r="F305" s="42"/>
      <c r="G305" s="42"/>
      <c r="H305" s="42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</row>
    <row r="306">
      <c r="A306" s="42"/>
      <c r="B306" s="42"/>
      <c r="C306" s="42"/>
      <c r="D306" s="42"/>
      <c r="E306" s="42"/>
      <c r="F306" s="42"/>
      <c r="G306" s="42"/>
      <c r="H306" s="42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</row>
    <row r="307">
      <c r="A307" s="42"/>
      <c r="B307" s="42"/>
      <c r="C307" s="42"/>
      <c r="D307" s="42"/>
      <c r="E307" s="42"/>
      <c r="F307" s="42"/>
      <c r="G307" s="42"/>
      <c r="H307" s="42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</row>
    <row r="308">
      <c r="A308" s="42"/>
      <c r="B308" s="42"/>
      <c r="C308" s="42"/>
      <c r="D308" s="42"/>
      <c r="E308" s="42"/>
      <c r="F308" s="42"/>
      <c r="G308" s="42"/>
      <c r="H308" s="42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</row>
    <row r="309">
      <c r="A309" s="42"/>
      <c r="B309" s="42"/>
      <c r="C309" s="42"/>
      <c r="D309" s="42"/>
      <c r="E309" s="42"/>
      <c r="F309" s="42"/>
      <c r="G309" s="42"/>
      <c r="H309" s="42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</row>
    <row r="310">
      <c r="A310" s="42"/>
      <c r="B310" s="42"/>
      <c r="C310" s="42"/>
      <c r="D310" s="42"/>
      <c r="E310" s="42"/>
      <c r="F310" s="42"/>
      <c r="G310" s="42"/>
      <c r="H310" s="42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</row>
    <row r="311">
      <c r="A311" s="42"/>
      <c r="B311" s="42"/>
      <c r="C311" s="42"/>
      <c r="D311" s="42"/>
      <c r="E311" s="42"/>
      <c r="F311" s="42"/>
      <c r="G311" s="42"/>
      <c r="H311" s="42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</row>
    <row r="312">
      <c r="A312" s="42"/>
      <c r="B312" s="42"/>
      <c r="C312" s="42"/>
      <c r="D312" s="42"/>
      <c r="E312" s="42"/>
      <c r="F312" s="42"/>
      <c r="G312" s="42"/>
      <c r="H312" s="42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</row>
    <row r="313">
      <c r="A313" s="42"/>
      <c r="B313" s="42"/>
      <c r="C313" s="42"/>
      <c r="D313" s="42"/>
      <c r="E313" s="42"/>
      <c r="F313" s="42"/>
      <c r="G313" s="42"/>
      <c r="H313" s="42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</row>
    <row r="314">
      <c r="A314" s="42"/>
      <c r="B314" s="42"/>
      <c r="C314" s="42"/>
      <c r="D314" s="42"/>
      <c r="E314" s="42"/>
      <c r="F314" s="42"/>
      <c r="G314" s="42"/>
      <c r="H314" s="42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</row>
    <row r="315">
      <c r="A315" s="42"/>
      <c r="B315" s="42"/>
      <c r="C315" s="42"/>
      <c r="D315" s="42"/>
      <c r="E315" s="42"/>
      <c r="F315" s="42"/>
      <c r="G315" s="42"/>
      <c r="H315" s="42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</row>
    <row r="316">
      <c r="A316" s="42"/>
      <c r="B316" s="42"/>
      <c r="C316" s="42"/>
      <c r="D316" s="42"/>
      <c r="E316" s="42"/>
      <c r="F316" s="42"/>
      <c r="G316" s="42"/>
      <c r="H316" s="42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</row>
    <row r="317">
      <c r="A317" s="42"/>
      <c r="B317" s="42"/>
      <c r="C317" s="42"/>
      <c r="D317" s="42"/>
      <c r="E317" s="42"/>
      <c r="F317" s="42"/>
      <c r="G317" s="42"/>
      <c r="H317" s="42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</row>
    <row r="318">
      <c r="A318" s="42"/>
      <c r="B318" s="42"/>
      <c r="C318" s="42"/>
      <c r="D318" s="42"/>
      <c r="E318" s="42"/>
      <c r="F318" s="42"/>
      <c r="G318" s="42"/>
      <c r="H318" s="42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</row>
    <row r="319">
      <c r="A319" s="42"/>
      <c r="B319" s="42"/>
      <c r="C319" s="42"/>
      <c r="D319" s="42"/>
      <c r="E319" s="42"/>
      <c r="F319" s="42"/>
      <c r="G319" s="42"/>
      <c r="H319" s="42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</row>
    <row r="320">
      <c r="A320" s="42"/>
      <c r="B320" s="42"/>
      <c r="C320" s="42"/>
      <c r="D320" s="42"/>
      <c r="E320" s="42"/>
      <c r="F320" s="42"/>
      <c r="G320" s="42"/>
      <c r="H320" s="42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</row>
    <row r="321">
      <c r="A321" s="42"/>
      <c r="B321" s="42"/>
      <c r="C321" s="42"/>
      <c r="D321" s="42"/>
      <c r="E321" s="42"/>
      <c r="F321" s="42"/>
      <c r="G321" s="42"/>
      <c r="H321" s="42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</row>
    <row r="322">
      <c r="A322" s="42"/>
      <c r="B322" s="42"/>
      <c r="C322" s="42"/>
      <c r="D322" s="42"/>
      <c r="E322" s="42"/>
      <c r="F322" s="42"/>
      <c r="G322" s="42"/>
      <c r="H322" s="42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</row>
    <row r="323">
      <c r="A323" s="42"/>
      <c r="B323" s="42"/>
      <c r="C323" s="42"/>
      <c r="D323" s="42"/>
      <c r="E323" s="42"/>
      <c r="F323" s="42"/>
      <c r="G323" s="42"/>
      <c r="H323" s="42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</row>
    <row r="324">
      <c r="A324" s="42"/>
      <c r="B324" s="42"/>
      <c r="C324" s="42"/>
      <c r="D324" s="42"/>
      <c r="E324" s="42"/>
      <c r="F324" s="42"/>
      <c r="G324" s="42"/>
      <c r="H324" s="42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</row>
    <row r="325">
      <c r="A325" s="42"/>
      <c r="B325" s="42"/>
      <c r="C325" s="42"/>
      <c r="D325" s="42"/>
      <c r="E325" s="42"/>
      <c r="F325" s="42"/>
      <c r="G325" s="42"/>
      <c r="H325" s="42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</row>
    <row r="326">
      <c r="A326" s="42"/>
      <c r="B326" s="42"/>
      <c r="C326" s="42"/>
      <c r="D326" s="42"/>
      <c r="E326" s="42"/>
      <c r="F326" s="42"/>
      <c r="G326" s="42"/>
      <c r="H326" s="42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</row>
    <row r="327">
      <c r="A327" s="42"/>
      <c r="B327" s="42"/>
      <c r="C327" s="42"/>
      <c r="D327" s="42"/>
      <c r="E327" s="42"/>
      <c r="F327" s="42"/>
      <c r="G327" s="42"/>
      <c r="H327" s="42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</row>
    <row r="328">
      <c r="A328" s="42"/>
      <c r="B328" s="42"/>
      <c r="C328" s="42"/>
      <c r="D328" s="42"/>
      <c r="E328" s="42"/>
      <c r="F328" s="42"/>
      <c r="G328" s="42"/>
      <c r="H328" s="42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</row>
    <row r="329">
      <c r="A329" s="42"/>
      <c r="B329" s="42"/>
      <c r="C329" s="42"/>
      <c r="D329" s="42"/>
      <c r="E329" s="42"/>
      <c r="F329" s="42"/>
      <c r="G329" s="42"/>
      <c r="H329" s="42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</row>
    <row r="330">
      <c r="A330" s="42"/>
      <c r="B330" s="42"/>
      <c r="C330" s="42"/>
      <c r="D330" s="42"/>
      <c r="E330" s="42"/>
      <c r="F330" s="42"/>
      <c r="G330" s="42"/>
      <c r="H330" s="42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</row>
    <row r="331">
      <c r="A331" s="42"/>
      <c r="B331" s="42"/>
      <c r="C331" s="42"/>
      <c r="D331" s="42"/>
      <c r="E331" s="42"/>
      <c r="F331" s="42"/>
      <c r="G331" s="42"/>
      <c r="H331" s="42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</row>
    <row r="332">
      <c r="A332" s="42"/>
      <c r="B332" s="42"/>
      <c r="C332" s="42"/>
      <c r="D332" s="42"/>
      <c r="E332" s="42"/>
      <c r="F332" s="42"/>
      <c r="G332" s="42"/>
      <c r="H332" s="42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</row>
    <row r="333">
      <c r="A333" s="42"/>
      <c r="B333" s="42"/>
      <c r="C333" s="42"/>
      <c r="D333" s="42"/>
      <c r="E333" s="42"/>
      <c r="F333" s="42"/>
      <c r="G333" s="42"/>
      <c r="H333" s="42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</row>
    <row r="334">
      <c r="A334" s="42"/>
      <c r="B334" s="42"/>
      <c r="C334" s="42"/>
      <c r="D334" s="42"/>
      <c r="E334" s="42"/>
      <c r="F334" s="42"/>
      <c r="G334" s="42"/>
      <c r="H334" s="42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</row>
    <row r="335">
      <c r="A335" s="42"/>
      <c r="B335" s="42"/>
      <c r="C335" s="42"/>
      <c r="D335" s="42"/>
      <c r="E335" s="42"/>
      <c r="F335" s="42"/>
      <c r="G335" s="42"/>
      <c r="H335" s="42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</row>
    <row r="336">
      <c r="A336" s="42"/>
      <c r="B336" s="42"/>
      <c r="C336" s="42"/>
      <c r="D336" s="42"/>
      <c r="E336" s="42"/>
      <c r="F336" s="42"/>
      <c r="G336" s="42"/>
      <c r="H336" s="42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</row>
    <row r="337">
      <c r="A337" s="42"/>
      <c r="B337" s="42"/>
      <c r="C337" s="42"/>
      <c r="D337" s="42"/>
      <c r="E337" s="42"/>
      <c r="F337" s="42"/>
      <c r="G337" s="42"/>
      <c r="H337" s="42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</row>
    <row r="338">
      <c r="A338" s="42"/>
      <c r="B338" s="42"/>
      <c r="C338" s="42"/>
      <c r="D338" s="42"/>
      <c r="E338" s="42"/>
      <c r="F338" s="42"/>
      <c r="G338" s="42"/>
      <c r="H338" s="42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</row>
    <row r="339">
      <c r="A339" s="42"/>
      <c r="B339" s="42"/>
      <c r="C339" s="42"/>
      <c r="D339" s="42"/>
      <c r="E339" s="42"/>
      <c r="F339" s="42"/>
      <c r="G339" s="42"/>
      <c r="H339" s="42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</row>
    <row r="340">
      <c r="A340" s="42"/>
      <c r="B340" s="42"/>
      <c r="C340" s="42"/>
      <c r="D340" s="42"/>
      <c r="E340" s="42"/>
      <c r="F340" s="42"/>
      <c r="G340" s="42"/>
      <c r="H340" s="42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</row>
    <row r="341">
      <c r="A341" s="42"/>
      <c r="B341" s="42"/>
      <c r="C341" s="42"/>
      <c r="D341" s="42"/>
      <c r="E341" s="42"/>
      <c r="F341" s="42"/>
      <c r="G341" s="42"/>
      <c r="H341" s="42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</row>
    <row r="342">
      <c r="A342" s="42"/>
      <c r="B342" s="42"/>
      <c r="C342" s="42"/>
      <c r="D342" s="42"/>
      <c r="E342" s="42"/>
      <c r="F342" s="42"/>
      <c r="G342" s="42"/>
      <c r="H342" s="42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</row>
    <row r="343">
      <c r="A343" s="42"/>
      <c r="B343" s="42"/>
      <c r="C343" s="42"/>
      <c r="D343" s="42"/>
      <c r="E343" s="42"/>
      <c r="F343" s="42"/>
      <c r="G343" s="42"/>
      <c r="H343" s="42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</row>
    <row r="344">
      <c r="A344" s="42"/>
      <c r="B344" s="42"/>
      <c r="C344" s="42"/>
      <c r="D344" s="42"/>
      <c r="E344" s="42"/>
      <c r="F344" s="42"/>
      <c r="G344" s="42"/>
      <c r="H344" s="42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</row>
    <row r="345">
      <c r="A345" s="42"/>
      <c r="B345" s="42"/>
      <c r="C345" s="42"/>
      <c r="D345" s="42"/>
      <c r="E345" s="42"/>
      <c r="F345" s="42"/>
      <c r="G345" s="42"/>
      <c r="H345" s="42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</row>
    <row r="346">
      <c r="A346" s="42"/>
      <c r="B346" s="42"/>
      <c r="C346" s="42"/>
      <c r="D346" s="42"/>
      <c r="E346" s="42"/>
      <c r="F346" s="42"/>
      <c r="G346" s="42"/>
      <c r="H346" s="42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</row>
    <row r="347">
      <c r="A347" s="42"/>
      <c r="B347" s="42"/>
      <c r="C347" s="42"/>
      <c r="D347" s="42"/>
      <c r="E347" s="42"/>
      <c r="F347" s="42"/>
      <c r="G347" s="42"/>
      <c r="H347" s="42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</row>
    <row r="348">
      <c r="A348" s="42"/>
      <c r="B348" s="42"/>
      <c r="C348" s="42"/>
      <c r="D348" s="42"/>
      <c r="E348" s="42"/>
      <c r="F348" s="42"/>
      <c r="G348" s="42"/>
      <c r="H348" s="42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</row>
    <row r="349">
      <c r="A349" s="42"/>
      <c r="B349" s="42"/>
      <c r="C349" s="42"/>
      <c r="D349" s="42"/>
      <c r="E349" s="42"/>
      <c r="F349" s="42"/>
      <c r="G349" s="42"/>
      <c r="H349" s="42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</row>
    <row r="350">
      <c r="A350" s="42"/>
      <c r="B350" s="42"/>
      <c r="C350" s="42"/>
      <c r="D350" s="42"/>
      <c r="E350" s="42"/>
      <c r="F350" s="42"/>
      <c r="G350" s="42"/>
      <c r="H350" s="42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</row>
    <row r="351">
      <c r="A351" s="42"/>
      <c r="B351" s="42"/>
      <c r="C351" s="42"/>
      <c r="D351" s="42"/>
      <c r="E351" s="42"/>
      <c r="F351" s="42"/>
      <c r="G351" s="42"/>
      <c r="H351" s="42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</row>
    <row r="352">
      <c r="A352" s="42"/>
      <c r="B352" s="42"/>
      <c r="C352" s="42"/>
      <c r="D352" s="42"/>
      <c r="E352" s="42"/>
      <c r="F352" s="42"/>
      <c r="G352" s="42"/>
      <c r="H352" s="42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</row>
    <row r="353">
      <c r="A353" s="42"/>
      <c r="B353" s="42"/>
      <c r="C353" s="42"/>
      <c r="D353" s="42"/>
      <c r="E353" s="42"/>
      <c r="F353" s="42"/>
      <c r="G353" s="42"/>
      <c r="H353" s="42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</row>
    <row r="354">
      <c r="A354" s="42"/>
      <c r="B354" s="42"/>
      <c r="C354" s="42"/>
      <c r="D354" s="42"/>
      <c r="E354" s="42"/>
      <c r="F354" s="42"/>
      <c r="G354" s="42"/>
      <c r="H354" s="42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</row>
    <row r="355">
      <c r="A355" s="42"/>
      <c r="B355" s="42"/>
      <c r="C355" s="42"/>
      <c r="D355" s="42"/>
      <c r="E355" s="42"/>
      <c r="F355" s="42"/>
      <c r="G355" s="42"/>
      <c r="H355" s="42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</row>
    <row r="356">
      <c r="A356" s="42"/>
      <c r="B356" s="42"/>
      <c r="C356" s="42"/>
      <c r="D356" s="42"/>
      <c r="E356" s="42"/>
      <c r="F356" s="42"/>
      <c r="G356" s="42"/>
      <c r="H356" s="42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</row>
    <row r="357">
      <c r="A357" s="42"/>
      <c r="B357" s="42"/>
      <c r="C357" s="42"/>
      <c r="D357" s="42"/>
      <c r="E357" s="42"/>
      <c r="F357" s="42"/>
      <c r="G357" s="42"/>
      <c r="H357" s="42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</row>
    <row r="358">
      <c r="A358" s="42"/>
      <c r="B358" s="42"/>
      <c r="C358" s="42"/>
      <c r="D358" s="42"/>
      <c r="E358" s="42"/>
      <c r="F358" s="42"/>
      <c r="G358" s="42"/>
      <c r="H358" s="42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</row>
    <row r="359">
      <c r="A359" s="42"/>
      <c r="B359" s="42"/>
      <c r="C359" s="42"/>
      <c r="D359" s="42"/>
      <c r="E359" s="42"/>
      <c r="F359" s="42"/>
      <c r="G359" s="42"/>
      <c r="H359" s="42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  <c r="AA359" s="57"/>
    </row>
    <row r="360">
      <c r="A360" s="42"/>
      <c r="B360" s="42"/>
      <c r="C360" s="42"/>
      <c r="D360" s="42"/>
      <c r="E360" s="42"/>
      <c r="F360" s="42"/>
      <c r="G360" s="42"/>
      <c r="H360" s="42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</row>
    <row r="361">
      <c r="A361" s="42"/>
      <c r="B361" s="42"/>
      <c r="C361" s="42"/>
      <c r="D361" s="42"/>
      <c r="E361" s="42"/>
      <c r="F361" s="42"/>
      <c r="G361" s="42"/>
      <c r="H361" s="42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</row>
    <row r="362">
      <c r="A362" s="42"/>
      <c r="B362" s="42"/>
      <c r="C362" s="42"/>
      <c r="D362" s="42"/>
      <c r="E362" s="42"/>
      <c r="F362" s="42"/>
      <c r="G362" s="42"/>
      <c r="H362" s="42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  <c r="AA362" s="57"/>
    </row>
    <row r="363">
      <c r="A363" s="42"/>
      <c r="B363" s="42"/>
      <c r="C363" s="42"/>
      <c r="D363" s="42"/>
      <c r="E363" s="42"/>
      <c r="F363" s="42"/>
      <c r="G363" s="42"/>
      <c r="H363" s="42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</row>
    <row r="364">
      <c r="A364" s="42"/>
      <c r="B364" s="42"/>
      <c r="C364" s="42"/>
      <c r="D364" s="42"/>
      <c r="E364" s="42"/>
      <c r="F364" s="42"/>
      <c r="G364" s="42"/>
      <c r="H364" s="42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</row>
    <row r="365">
      <c r="A365" s="42"/>
      <c r="B365" s="42"/>
      <c r="C365" s="42"/>
      <c r="D365" s="42"/>
      <c r="E365" s="42"/>
      <c r="F365" s="42"/>
      <c r="G365" s="42"/>
      <c r="H365" s="42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</row>
    <row r="366">
      <c r="A366" s="42"/>
      <c r="B366" s="42"/>
      <c r="C366" s="42"/>
      <c r="D366" s="42"/>
      <c r="E366" s="42"/>
      <c r="F366" s="42"/>
      <c r="G366" s="42"/>
      <c r="H366" s="42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</row>
    <row r="367">
      <c r="A367" s="42"/>
      <c r="B367" s="42"/>
      <c r="C367" s="42"/>
      <c r="D367" s="42"/>
      <c r="E367" s="42"/>
      <c r="F367" s="42"/>
      <c r="G367" s="42"/>
      <c r="H367" s="42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</row>
    <row r="368">
      <c r="A368" s="42"/>
      <c r="B368" s="42"/>
      <c r="C368" s="42"/>
      <c r="D368" s="42"/>
      <c r="E368" s="42"/>
      <c r="F368" s="42"/>
      <c r="G368" s="42"/>
      <c r="H368" s="42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</row>
    <row r="369">
      <c r="A369" s="42"/>
      <c r="B369" s="42"/>
      <c r="C369" s="42"/>
      <c r="D369" s="42"/>
      <c r="E369" s="42"/>
      <c r="F369" s="42"/>
      <c r="G369" s="42"/>
      <c r="H369" s="42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</row>
    <row r="370">
      <c r="A370" s="42"/>
      <c r="B370" s="42"/>
      <c r="C370" s="42"/>
      <c r="D370" s="42"/>
      <c r="E370" s="42"/>
      <c r="F370" s="42"/>
      <c r="G370" s="42"/>
      <c r="H370" s="42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</row>
    <row r="371">
      <c r="A371" s="42"/>
      <c r="B371" s="42"/>
      <c r="C371" s="42"/>
      <c r="D371" s="42"/>
      <c r="E371" s="42"/>
      <c r="F371" s="42"/>
      <c r="G371" s="42"/>
      <c r="H371" s="42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</row>
    <row r="372">
      <c r="A372" s="42"/>
      <c r="B372" s="42"/>
      <c r="C372" s="42"/>
      <c r="D372" s="42"/>
      <c r="E372" s="42"/>
      <c r="F372" s="42"/>
      <c r="G372" s="42"/>
      <c r="H372" s="42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</row>
    <row r="373">
      <c r="A373" s="42"/>
      <c r="B373" s="42"/>
      <c r="C373" s="42"/>
      <c r="D373" s="42"/>
      <c r="E373" s="42"/>
      <c r="F373" s="42"/>
      <c r="G373" s="42"/>
      <c r="H373" s="42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</row>
    <row r="374">
      <c r="A374" s="42"/>
      <c r="B374" s="42"/>
      <c r="C374" s="42"/>
      <c r="D374" s="42"/>
      <c r="E374" s="42"/>
      <c r="F374" s="42"/>
      <c r="G374" s="42"/>
      <c r="H374" s="42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</row>
    <row r="375">
      <c r="A375" s="42"/>
      <c r="B375" s="42"/>
      <c r="C375" s="42"/>
      <c r="D375" s="42"/>
      <c r="E375" s="42"/>
      <c r="F375" s="42"/>
      <c r="G375" s="42"/>
      <c r="H375" s="42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</row>
    <row r="376">
      <c r="A376" s="42"/>
      <c r="B376" s="42"/>
      <c r="C376" s="42"/>
      <c r="D376" s="42"/>
      <c r="E376" s="42"/>
      <c r="F376" s="42"/>
      <c r="G376" s="42"/>
      <c r="H376" s="42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</row>
    <row r="377">
      <c r="A377" s="42"/>
      <c r="B377" s="42"/>
      <c r="C377" s="42"/>
      <c r="D377" s="42"/>
      <c r="E377" s="42"/>
      <c r="F377" s="42"/>
      <c r="G377" s="42"/>
      <c r="H377" s="42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</row>
    <row r="378">
      <c r="A378" s="42"/>
      <c r="B378" s="42"/>
      <c r="C378" s="42"/>
      <c r="D378" s="42"/>
      <c r="E378" s="42"/>
      <c r="F378" s="42"/>
      <c r="G378" s="42"/>
      <c r="H378" s="42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</row>
    <row r="379">
      <c r="A379" s="42"/>
      <c r="B379" s="42"/>
      <c r="C379" s="42"/>
      <c r="D379" s="42"/>
      <c r="E379" s="42"/>
      <c r="F379" s="42"/>
      <c r="G379" s="42"/>
      <c r="H379" s="42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</row>
    <row r="380">
      <c r="A380" s="42"/>
      <c r="B380" s="42"/>
      <c r="C380" s="42"/>
      <c r="D380" s="42"/>
      <c r="E380" s="42"/>
      <c r="F380" s="42"/>
      <c r="G380" s="42"/>
      <c r="H380" s="42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</row>
    <row r="381">
      <c r="A381" s="42"/>
      <c r="B381" s="42"/>
      <c r="C381" s="42"/>
      <c r="D381" s="42"/>
      <c r="E381" s="42"/>
      <c r="F381" s="42"/>
      <c r="G381" s="42"/>
      <c r="H381" s="42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</row>
    <row r="382">
      <c r="A382" s="42"/>
      <c r="B382" s="42"/>
      <c r="C382" s="42"/>
      <c r="D382" s="42"/>
      <c r="E382" s="42"/>
      <c r="F382" s="42"/>
      <c r="G382" s="42"/>
      <c r="H382" s="42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</row>
    <row r="383">
      <c r="A383" s="42"/>
      <c r="B383" s="42"/>
      <c r="C383" s="42"/>
      <c r="D383" s="42"/>
      <c r="E383" s="42"/>
      <c r="F383" s="42"/>
      <c r="G383" s="42"/>
      <c r="H383" s="42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</row>
    <row r="384">
      <c r="A384" s="42"/>
      <c r="B384" s="42"/>
      <c r="C384" s="42"/>
      <c r="D384" s="42"/>
      <c r="E384" s="42"/>
      <c r="F384" s="42"/>
      <c r="G384" s="42"/>
      <c r="H384" s="42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</row>
    <row r="385">
      <c r="A385" s="42"/>
      <c r="B385" s="42"/>
      <c r="C385" s="42"/>
      <c r="D385" s="42"/>
      <c r="E385" s="42"/>
      <c r="F385" s="42"/>
      <c r="G385" s="42"/>
      <c r="H385" s="42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  <c r="AA385" s="57"/>
    </row>
    <row r="386">
      <c r="A386" s="42"/>
      <c r="B386" s="42"/>
      <c r="C386" s="42"/>
      <c r="D386" s="42"/>
      <c r="E386" s="42"/>
      <c r="F386" s="42"/>
      <c r="G386" s="42"/>
      <c r="H386" s="42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</row>
    <row r="387">
      <c r="A387" s="42"/>
      <c r="B387" s="42"/>
      <c r="C387" s="42"/>
      <c r="D387" s="42"/>
      <c r="E387" s="42"/>
      <c r="F387" s="42"/>
      <c r="G387" s="42"/>
      <c r="H387" s="42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</row>
    <row r="388">
      <c r="A388" s="42"/>
      <c r="B388" s="42"/>
      <c r="C388" s="42"/>
      <c r="D388" s="42"/>
      <c r="E388" s="42"/>
      <c r="F388" s="42"/>
      <c r="G388" s="42"/>
      <c r="H388" s="42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</row>
    <row r="389">
      <c r="A389" s="42"/>
      <c r="B389" s="42"/>
      <c r="C389" s="42"/>
      <c r="D389" s="42"/>
      <c r="E389" s="42"/>
      <c r="F389" s="42"/>
      <c r="G389" s="42"/>
      <c r="H389" s="42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</row>
    <row r="390">
      <c r="A390" s="42"/>
      <c r="B390" s="42"/>
      <c r="C390" s="42"/>
      <c r="D390" s="42"/>
      <c r="E390" s="42"/>
      <c r="F390" s="42"/>
      <c r="G390" s="42"/>
      <c r="H390" s="42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</row>
    <row r="391">
      <c r="A391" s="42"/>
      <c r="B391" s="42"/>
      <c r="C391" s="42"/>
      <c r="D391" s="42"/>
      <c r="E391" s="42"/>
      <c r="F391" s="42"/>
      <c r="G391" s="42"/>
      <c r="H391" s="42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  <c r="AA391" s="57"/>
    </row>
    <row r="392">
      <c r="A392" s="42"/>
      <c r="B392" s="42"/>
      <c r="C392" s="42"/>
      <c r="D392" s="42"/>
      <c r="E392" s="42"/>
      <c r="F392" s="42"/>
      <c r="G392" s="42"/>
      <c r="H392" s="42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</row>
    <row r="393">
      <c r="A393" s="42"/>
      <c r="B393" s="42"/>
      <c r="C393" s="42"/>
      <c r="D393" s="42"/>
      <c r="E393" s="42"/>
      <c r="F393" s="42"/>
      <c r="G393" s="42"/>
      <c r="H393" s="42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</row>
    <row r="394">
      <c r="A394" s="42"/>
      <c r="B394" s="42"/>
      <c r="C394" s="42"/>
      <c r="D394" s="42"/>
      <c r="E394" s="42"/>
      <c r="F394" s="42"/>
      <c r="G394" s="42"/>
      <c r="H394" s="42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</row>
    <row r="395">
      <c r="A395" s="42"/>
      <c r="B395" s="42"/>
      <c r="C395" s="42"/>
      <c r="D395" s="42"/>
      <c r="E395" s="42"/>
      <c r="F395" s="42"/>
      <c r="G395" s="42"/>
      <c r="H395" s="42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  <c r="AA395" s="57"/>
    </row>
    <row r="396">
      <c r="A396" s="42"/>
      <c r="B396" s="42"/>
      <c r="C396" s="42"/>
      <c r="D396" s="42"/>
      <c r="E396" s="42"/>
      <c r="F396" s="42"/>
      <c r="G396" s="42"/>
      <c r="H396" s="42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</row>
    <row r="397">
      <c r="A397" s="42"/>
      <c r="B397" s="42"/>
      <c r="C397" s="42"/>
      <c r="D397" s="42"/>
      <c r="E397" s="42"/>
      <c r="F397" s="42"/>
      <c r="G397" s="42"/>
      <c r="H397" s="42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</row>
    <row r="398">
      <c r="A398" s="42"/>
      <c r="B398" s="42"/>
      <c r="C398" s="42"/>
      <c r="D398" s="42"/>
      <c r="E398" s="42"/>
      <c r="F398" s="42"/>
      <c r="G398" s="42"/>
      <c r="H398" s="42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</row>
    <row r="399">
      <c r="A399" s="42"/>
      <c r="B399" s="42"/>
      <c r="C399" s="42"/>
      <c r="D399" s="42"/>
      <c r="E399" s="42"/>
      <c r="F399" s="42"/>
      <c r="G399" s="42"/>
      <c r="H399" s="42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  <c r="AA399" s="57"/>
    </row>
    <row r="400">
      <c r="A400" s="42"/>
      <c r="B400" s="42"/>
      <c r="C400" s="42"/>
      <c r="D400" s="42"/>
      <c r="E400" s="42"/>
      <c r="F400" s="42"/>
      <c r="G400" s="42"/>
      <c r="H400" s="42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</row>
    <row r="401">
      <c r="A401" s="42"/>
      <c r="B401" s="42"/>
      <c r="C401" s="42"/>
      <c r="D401" s="42"/>
      <c r="E401" s="42"/>
      <c r="F401" s="42"/>
      <c r="G401" s="42"/>
      <c r="H401" s="42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</row>
    <row r="402">
      <c r="A402" s="42"/>
      <c r="B402" s="42"/>
      <c r="C402" s="42"/>
      <c r="D402" s="42"/>
      <c r="E402" s="42"/>
      <c r="F402" s="42"/>
      <c r="G402" s="42"/>
      <c r="H402" s="42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</row>
    <row r="403">
      <c r="A403" s="42"/>
      <c r="B403" s="42"/>
      <c r="C403" s="42"/>
      <c r="D403" s="42"/>
      <c r="E403" s="42"/>
      <c r="F403" s="42"/>
      <c r="G403" s="42"/>
      <c r="H403" s="42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  <c r="AA403" s="57"/>
    </row>
    <row r="404">
      <c r="A404" s="42"/>
      <c r="B404" s="42"/>
      <c r="C404" s="42"/>
      <c r="D404" s="42"/>
      <c r="E404" s="42"/>
      <c r="F404" s="42"/>
      <c r="G404" s="42"/>
      <c r="H404" s="42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</row>
    <row r="405">
      <c r="A405" s="42"/>
      <c r="B405" s="42"/>
      <c r="C405" s="42"/>
      <c r="D405" s="42"/>
      <c r="E405" s="42"/>
      <c r="F405" s="42"/>
      <c r="G405" s="42"/>
      <c r="H405" s="42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</row>
    <row r="406">
      <c r="A406" s="42"/>
      <c r="B406" s="42"/>
      <c r="C406" s="42"/>
      <c r="D406" s="42"/>
      <c r="E406" s="42"/>
      <c r="F406" s="42"/>
      <c r="G406" s="42"/>
      <c r="H406" s="42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</row>
    <row r="407">
      <c r="A407" s="42"/>
      <c r="B407" s="42"/>
      <c r="C407" s="42"/>
      <c r="D407" s="42"/>
      <c r="E407" s="42"/>
      <c r="F407" s="42"/>
      <c r="G407" s="42"/>
      <c r="H407" s="42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</row>
    <row r="408">
      <c r="A408" s="42"/>
      <c r="B408" s="42"/>
      <c r="C408" s="42"/>
      <c r="D408" s="42"/>
      <c r="E408" s="42"/>
      <c r="F408" s="42"/>
      <c r="G408" s="42"/>
      <c r="H408" s="42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</row>
    <row r="409">
      <c r="A409" s="42"/>
      <c r="B409" s="42"/>
      <c r="C409" s="42"/>
      <c r="D409" s="42"/>
      <c r="E409" s="42"/>
      <c r="F409" s="42"/>
      <c r="G409" s="42"/>
      <c r="H409" s="42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</row>
    <row r="410">
      <c r="A410" s="42"/>
      <c r="B410" s="42"/>
      <c r="C410" s="42"/>
      <c r="D410" s="42"/>
      <c r="E410" s="42"/>
      <c r="F410" s="42"/>
      <c r="G410" s="42"/>
      <c r="H410" s="42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  <c r="AA410" s="57"/>
    </row>
    <row r="411">
      <c r="A411" s="42"/>
      <c r="B411" s="42"/>
      <c r="C411" s="42"/>
      <c r="D411" s="42"/>
      <c r="E411" s="42"/>
      <c r="F411" s="42"/>
      <c r="G411" s="42"/>
      <c r="H411" s="42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</row>
    <row r="412">
      <c r="A412" s="42"/>
      <c r="B412" s="42"/>
      <c r="C412" s="42"/>
      <c r="D412" s="42"/>
      <c r="E412" s="42"/>
      <c r="F412" s="42"/>
      <c r="G412" s="42"/>
      <c r="H412" s="42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</row>
    <row r="413">
      <c r="A413" s="42"/>
      <c r="B413" s="42"/>
      <c r="C413" s="42"/>
      <c r="D413" s="42"/>
      <c r="E413" s="42"/>
      <c r="F413" s="42"/>
      <c r="G413" s="42"/>
      <c r="H413" s="42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</row>
    <row r="414">
      <c r="A414" s="42"/>
      <c r="B414" s="42"/>
      <c r="C414" s="42"/>
      <c r="D414" s="42"/>
      <c r="E414" s="42"/>
      <c r="F414" s="42"/>
      <c r="G414" s="42"/>
      <c r="H414" s="42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</row>
    <row r="415">
      <c r="A415" s="42"/>
      <c r="B415" s="42"/>
      <c r="C415" s="42"/>
      <c r="D415" s="42"/>
      <c r="E415" s="42"/>
      <c r="F415" s="42"/>
      <c r="G415" s="42"/>
      <c r="H415" s="42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  <c r="AA415" s="57"/>
    </row>
    <row r="416">
      <c r="A416" s="42"/>
      <c r="B416" s="42"/>
      <c r="C416" s="42"/>
      <c r="D416" s="42"/>
      <c r="E416" s="42"/>
      <c r="F416" s="42"/>
      <c r="G416" s="42"/>
      <c r="H416" s="42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  <c r="AA416" s="57"/>
    </row>
    <row r="417">
      <c r="A417" s="42"/>
      <c r="B417" s="42"/>
      <c r="C417" s="42"/>
      <c r="D417" s="42"/>
      <c r="E417" s="42"/>
      <c r="F417" s="42"/>
      <c r="G417" s="42"/>
      <c r="H417" s="42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</row>
    <row r="418">
      <c r="A418" s="42"/>
      <c r="B418" s="42"/>
      <c r="C418" s="42"/>
      <c r="D418" s="42"/>
      <c r="E418" s="42"/>
      <c r="F418" s="42"/>
      <c r="G418" s="42"/>
      <c r="H418" s="42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</row>
    <row r="419">
      <c r="A419" s="42"/>
      <c r="B419" s="42"/>
      <c r="C419" s="42"/>
      <c r="D419" s="42"/>
      <c r="E419" s="42"/>
      <c r="F419" s="42"/>
      <c r="G419" s="42"/>
      <c r="H419" s="42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</row>
    <row r="420">
      <c r="A420" s="42"/>
      <c r="B420" s="42"/>
      <c r="C420" s="42"/>
      <c r="D420" s="42"/>
      <c r="E420" s="42"/>
      <c r="F420" s="42"/>
      <c r="G420" s="42"/>
      <c r="H420" s="42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</row>
    <row r="421">
      <c r="A421" s="42"/>
      <c r="B421" s="42"/>
      <c r="C421" s="42"/>
      <c r="D421" s="42"/>
      <c r="E421" s="42"/>
      <c r="F421" s="42"/>
      <c r="G421" s="42"/>
      <c r="H421" s="42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</row>
    <row r="422">
      <c r="A422" s="42"/>
      <c r="B422" s="42"/>
      <c r="C422" s="42"/>
      <c r="D422" s="42"/>
      <c r="E422" s="42"/>
      <c r="F422" s="42"/>
      <c r="G422" s="42"/>
      <c r="H422" s="42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</row>
    <row r="423">
      <c r="A423" s="42"/>
      <c r="B423" s="42"/>
      <c r="C423" s="42"/>
      <c r="D423" s="42"/>
      <c r="E423" s="42"/>
      <c r="F423" s="42"/>
      <c r="G423" s="42"/>
      <c r="H423" s="42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</row>
    <row r="424">
      <c r="A424" s="42"/>
      <c r="B424" s="42"/>
      <c r="C424" s="42"/>
      <c r="D424" s="42"/>
      <c r="E424" s="42"/>
      <c r="F424" s="42"/>
      <c r="G424" s="42"/>
      <c r="H424" s="42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</row>
    <row r="425">
      <c r="A425" s="42"/>
      <c r="B425" s="42"/>
      <c r="C425" s="42"/>
      <c r="D425" s="42"/>
      <c r="E425" s="42"/>
      <c r="F425" s="42"/>
      <c r="G425" s="42"/>
      <c r="H425" s="42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</row>
    <row r="426">
      <c r="A426" s="42"/>
      <c r="B426" s="42"/>
      <c r="C426" s="42"/>
      <c r="D426" s="42"/>
      <c r="E426" s="42"/>
      <c r="F426" s="42"/>
      <c r="G426" s="42"/>
      <c r="H426" s="42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</row>
    <row r="427">
      <c r="A427" s="42"/>
      <c r="B427" s="42"/>
      <c r="C427" s="42"/>
      <c r="D427" s="42"/>
      <c r="E427" s="42"/>
      <c r="F427" s="42"/>
      <c r="G427" s="42"/>
      <c r="H427" s="42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  <c r="AA427" s="57"/>
    </row>
    <row r="428">
      <c r="A428" s="42"/>
      <c r="B428" s="42"/>
      <c r="C428" s="42"/>
      <c r="D428" s="42"/>
      <c r="E428" s="42"/>
      <c r="F428" s="42"/>
      <c r="G428" s="42"/>
      <c r="H428" s="42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</row>
    <row r="429">
      <c r="A429" s="42"/>
      <c r="B429" s="42"/>
      <c r="C429" s="42"/>
      <c r="D429" s="42"/>
      <c r="E429" s="42"/>
      <c r="F429" s="42"/>
      <c r="G429" s="42"/>
      <c r="H429" s="42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</row>
    <row r="430">
      <c r="A430" s="42"/>
      <c r="B430" s="42"/>
      <c r="C430" s="42"/>
      <c r="D430" s="42"/>
      <c r="E430" s="42"/>
      <c r="F430" s="42"/>
      <c r="G430" s="42"/>
      <c r="H430" s="42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  <c r="AA430" s="57"/>
    </row>
    <row r="431">
      <c r="A431" s="42"/>
      <c r="B431" s="42"/>
      <c r="C431" s="42"/>
      <c r="D431" s="42"/>
      <c r="E431" s="42"/>
      <c r="F431" s="42"/>
      <c r="G431" s="42"/>
      <c r="H431" s="42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</row>
    <row r="432">
      <c r="A432" s="42"/>
      <c r="B432" s="42"/>
      <c r="C432" s="42"/>
      <c r="D432" s="42"/>
      <c r="E432" s="42"/>
      <c r="F432" s="42"/>
      <c r="G432" s="42"/>
      <c r="H432" s="42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</row>
    <row r="433">
      <c r="A433" s="42"/>
      <c r="B433" s="42"/>
      <c r="C433" s="42"/>
      <c r="D433" s="42"/>
      <c r="E433" s="42"/>
      <c r="F433" s="42"/>
      <c r="G433" s="42"/>
      <c r="H433" s="42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</row>
    <row r="434">
      <c r="A434" s="42"/>
      <c r="B434" s="42"/>
      <c r="C434" s="42"/>
      <c r="D434" s="42"/>
      <c r="E434" s="42"/>
      <c r="F434" s="42"/>
      <c r="G434" s="42"/>
      <c r="H434" s="42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</row>
    <row r="435">
      <c r="A435" s="42"/>
      <c r="B435" s="42"/>
      <c r="C435" s="42"/>
      <c r="D435" s="42"/>
      <c r="E435" s="42"/>
      <c r="F435" s="42"/>
      <c r="G435" s="42"/>
      <c r="H435" s="42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</row>
    <row r="436">
      <c r="A436" s="42"/>
      <c r="B436" s="42"/>
      <c r="C436" s="42"/>
      <c r="D436" s="42"/>
      <c r="E436" s="42"/>
      <c r="F436" s="42"/>
      <c r="G436" s="42"/>
      <c r="H436" s="42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</row>
    <row r="437">
      <c r="A437" s="42"/>
      <c r="B437" s="42"/>
      <c r="C437" s="42"/>
      <c r="D437" s="42"/>
      <c r="E437" s="42"/>
      <c r="F437" s="42"/>
      <c r="G437" s="42"/>
      <c r="H437" s="42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</row>
    <row r="438">
      <c r="A438" s="42"/>
      <c r="B438" s="42"/>
      <c r="C438" s="42"/>
      <c r="D438" s="42"/>
      <c r="E438" s="42"/>
      <c r="F438" s="42"/>
      <c r="G438" s="42"/>
      <c r="H438" s="42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</row>
    <row r="439">
      <c r="A439" s="42"/>
      <c r="B439" s="42"/>
      <c r="C439" s="42"/>
      <c r="D439" s="42"/>
      <c r="E439" s="42"/>
      <c r="F439" s="42"/>
      <c r="G439" s="42"/>
      <c r="H439" s="42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</row>
    <row r="440">
      <c r="A440" s="42"/>
      <c r="B440" s="42"/>
      <c r="C440" s="42"/>
      <c r="D440" s="42"/>
      <c r="E440" s="42"/>
      <c r="F440" s="42"/>
      <c r="G440" s="42"/>
      <c r="H440" s="42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</row>
    <row r="441">
      <c r="A441" s="42"/>
      <c r="B441" s="42"/>
      <c r="C441" s="42"/>
      <c r="D441" s="42"/>
      <c r="E441" s="42"/>
      <c r="F441" s="42"/>
      <c r="G441" s="42"/>
      <c r="H441" s="42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</row>
    <row r="442">
      <c r="A442" s="42"/>
      <c r="B442" s="42"/>
      <c r="C442" s="42"/>
      <c r="D442" s="42"/>
      <c r="E442" s="42"/>
      <c r="F442" s="42"/>
      <c r="G442" s="42"/>
      <c r="H442" s="42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  <c r="AA442" s="57"/>
    </row>
    <row r="443">
      <c r="A443" s="42"/>
      <c r="B443" s="42"/>
      <c r="C443" s="42"/>
      <c r="D443" s="42"/>
      <c r="E443" s="42"/>
      <c r="F443" s="42"/>
      <c r="G443" s="42"/>
      <c r="H443" s="42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  <c r="AA443" s="57"/>
    </row>
    <row r="444">
      <c r="A444" s="42"/>
      <c r="B444" s="42"/>
      <c r="C444" s="42"/>
      <c r="D444" s="42"/>
      <c r="E444" s="42"/>
      <c r="F444" s="42"/>
      <c r="G444" s="42"/>
      <c r="H444" s="42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</row>
    <row r="445">
      <c r="A445" s="42"/>
      <c r="B445" s="42"/>
      <c r="C445" s="42"/>
      <c r="D445" s="42"/>
      <c r="E445" s="42"/>
      <c r="F445" s="42"/>
      <c r="G445" s="42"/>
      <c r="H445" s="42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  <c r="AA445" s="57"/>
    </row>
    <row r="446">
      <c r="A446" s="42"/>
      <c r="B446" s="42"/>
      <c r="C446" s="42"/>
      <c r="D446" s="42"/>
      <c r="E446" s="42"/>
      <c r="F446" s="42"/>
      <c r="G446" s="42"/>
      <c r="H446" s="42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  <c r="AA446" s="57"/>
    </row>
    <row r="447">
      <c r="A447" s="42"/>
      <c r="B447" s="42"/>
      <c r="C447" s="42"/>
      <c r="D447" s="42"/>
      <c r="E447" s="42"/>
      <c r="F447" s="42"/>
      <c r="G447" s="42"/>
      <c r="H447" s="42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  <c r="AA447" s="57"/>
    </row>
    <row r="448">
      <c r="A448" s="42"/>
      <c r="B448" s="42"/>
      <c r="C448" s="42"/>
      <c r="D448" s="42"/>
      <c r="E448" s="42"/>
      <c r="F448" s="42"/>
      <c r="G448" s="42"/>
      <c r="H448" s="42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  <c r="AA448" s="57"/>
    </row>
    <row r="449">
      <c r="A449" s="42"/>
      <c r="B449" s="42"/>
      <c r="C449" s="42"/>
      <c r="D449" s="42"/>
      <c r="E449" s="42"/>
      <c r="F449" s="42"/>
      <c r="G449" s="42"/>
      <c r="H449" s="42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  <c r="AA449" s="57"/>
    </row>
    <row r="450">
      <c r="A450" s="42"/>
      <c r="B450" s="42"/>
      <c r="C450" s="42"/>
      <c r="D450" s="42"/>
      <c r="E450" s="42"/>
      <c r="F450" s="42"/>
      <c r="G450" s="42"/>
      <c r="H450" s="42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</row>
    <row r="451">
      <c r="A451" s="42"/>
      <c r="B451" s="42"/>
      <c r="C451" s="42"/>
      <c r="D451" s="42"/>
      <c r="E451" s="42"/>
      <c r="F451" s="42"/>
      <c r="G451" s="42"/>
      <c r="H451" s="42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  <c r="AA451" s="57"/>
    </row>
    <row r="452">
      <c r="A452" s="42"/>
      <c r="B452" s="42"/>
      <c r="C452" s="42"/>
      <c r="D452" s="42"/>
      <c r="E452" s="42"/>
      <c r="F452" s="42"/>
      <c r="G452" s="42"/>
      <c r="H452" s="42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  <c r="AA452" s="57"/>
    </row>
    <row r="453">
      <c r="A453" s="42"/>
      <c r="B453" s="42"/>
      <c r="C453" s="42"/>
      <c r="D453" s="42"/>
      <c r="E453" s="42"/>
      <c r="F453" s="42"/>
      <c r="G453" s="42"/>
      <c r="H453" s="42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  <c r="AA453" s="57"/>
    </row>
    <row r="454">
      <c r="A454" s="42"/>
      <c r="B454" s="42"/>
      <c r="C454" s="42"/>
      <c r="D454" s="42"/>
      <c r="E454" s="42"/>
      <c r="F454" s="42"/>
      <c r="G454" s="42"/>
      <c r="H454" s="42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  <c r="AA454" s="57"/>
    </row>
    <row r="455">
      <c r="A455" s="42"/>
      <c r="B455" s="42"/>
      <c r="C455" s="42"/>
      <c r="D455" s="42"/>
      <c r="E455" s="42"/>
      <c r="F455" s="42"/>
      <c r="G455" s="42"/>
      <c r="H455" s="42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  <c r="AA455" s="57"/>
    </row>
    <row r="456">
      <c r="A456" s="42"/>
      <c r="B456" s="42"/>
      <c r="C456" s="42"/>
      <c r="D456" s="42"/>
      <c r="E456" s="42"/>
      <c r="F456" s="42"/>
      <c r="G456" s="42"/>
      <c r="H456" s="42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  <c r="AA456" s="57"/>
    </row>
    <row r="457">
      <c r="A457" s="42"/>
      <c r="B457" s="42"/>
      <c r="C457" s="42"/>
      <c r="D457" s="42"/>
      <c r="E457" s="42"/>
      <c r="F457" s="42"/>
      <c r="G457" s="42"/>
      <c r="H457" s="42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  <c r="AA457" s="57"/>
    </row>
    <row r="458">
      <c r="A458" s="42"/>
      <c r="B458" s="42"/>
      <c r="C458" s="42"/>
      <c r="D458" s="42"/>
      <c r="E458" s="42"/>
      <c r="F458" s="42"/>
      <c r="G458" s="42"/>
      <c r="H458" s="42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  <c r="AA458" s="57"/>
    </row>
    <row r="459">
      <c r="A459" s="42"/>
      <c r="B459" s="42"/>
      <c r="C459" s="42"/>
      <c r="D459" s="42"/>
      <c r="E459" s="42"/>
      <c r="F459" s="42"/>
      <c r="G459" s="42"/>
      <c r="H459" s="42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  <c r="AA459" s="57"/>
    </row>
    <row r="460">
      <c r="A460" s="42"/>
      <c r="B460" s="42"/>
      <c r="C460" s="42"/>
      <c r="D460" s="42"/>
      <c r="E460" s="42"/>
      <c r="F460" s="42"/>
      <c r="G460" s="42"/>
      <c r="H460" s="42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  <c r="AA460" s="57"/>
    </row>
    <row r="461">
      <c r="A461" s="42"/>
      <c r="B461" s="42"/>
      <c r="C461" s="42"/>
      <c r="D461" s="42"/>
      <c r="E461" s="42"/>
      <c r="F461" s="42"/>
      <c r="G461" s="42"/>
      <c r="H461" s="42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  <c r="AA461" s="57"/>
    </row>
    <row r="462">
      <c r="A462" s="42"/>
      <c r="B462" s="42"/>
      <c r="C462" s="42"/>
      <c r="D462" s="42"/>
      <c r="E462" s="42"/>
      <c r="F462" s="42"/>
      <c r="G462" s="42"/>
      <c r="H462" s="42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  <c r="AA462" s="57"/>
    </row>
    <row r="463">
      <c r="A463" s="42"/>
      <c r="B463" s="42"/>
      <c r="C463" s="42"/>
      <c r="D463" s="42"/>
      <c r="E463" s="42"/>
      <c r="F463" s="42"/>
      <c r="G463" s="42"/>
      <c r="H463" s="42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  <c r="AA463" s="57"/>
    </row>
    <row r="464">
      <c r="A464" s="42"/>
      <c r="B464" s="42"/>
      <c r="C464" s="42"/>
      <c r="D464" s="42"/>
      <c r="E464" s="42"/>
      <c r="F464" s="42"/>
      <c r="G464" s="42"/>
      <c r="H464" s="42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  <c r="AA464" s="57"/>
    </row>
    <row r="465">
      <c r="A465" s="42"/>
      <c r="B465" s="42"/>
      <c r="C465" s="42"/>
      <c r="D465" s="42"/>
      <c r="E465" s="42"/>
      <c r="F465" s="42"/>
      <c r="G465" s="42"/>
      <c r="H465" s="42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  <c r="AA465" s="57"/>
    </row>
    <row r="466">
      <c r="A466" s="42"/>
      <c r="B466" s="42"/>
      <c r="C466" s="42"/>
      <c r="D466" s="42"/>
      <c r="E466" s="42"/>
      <c r="F466" s="42"/>
      <c r="G466" s="42"/>
      <c r="H466" s="42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  <c r="AA466" s="57"/>
    </row>
    <row r="467">
      <c r="A467" s="42"/>
      <c r="B467" s="42"/>
      <c r="C467" s="42"/>
      <c r="D467" s="42"/>
      <c r="E467" s="42"/>
      <c r="F467" s="42"/>
      <c r="G467" s="42"/>
      <c r="H467" s="42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  <c r="AA467" s="57"/>
    </row>
    <row r="468">
      <c r="A468" s="42"/>
      <c r="B468" s="42"/>
      <c r="C468" s="42"/>
      <c r="D468" s="42"/>
      <c r="E468" s="42"/>
      <c r="F468" s="42"/>
      <c r="G468" s="42"/>
      <c r="H468" s="42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  <c r="AA468" s="57"/>
    </row>
    <row r="469">
      <c r="A469" s="42"/>
      <c r="B469" s="42"/>
      <c r="C469" s="42"/>
      <c r="D469" s="42"/>
      <c r="E469" s="42"/>
      <c r="F469" s="42"/>
      <c r="G469" s="42"/>
      <c r="H469" s="42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  <c r="AA469" s="57"/>
    </row>
    <row r="470">
      <c r="A470" s="42"/>
      <c r="B470" s="42"/>
      <c r="C470" s="42"/>
      <c r="D470" s="42"/>
      <c r="E470" s="42"/>
      <c r="F470" s="42"/>
      <c r="G470" s="42"/>
      <c r="H470" s="42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</row>
    <row r="471">
      <c r="A471" s="42"/>
      <c r="B471" s="42"/>
      <c r="C471" s="42"/>
      <c r="D471" s="42"/>
      <c r="E471" s="42"/>
      <c r="F471" s="42"/>
      <c r="G471" s="42"/>
      <c r="H471" s="42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</row>
    <row r="472">
      <c r="A472" s="42"/>
      <c r="B472" s="42"/>
      <c r="C472" s="42"/>
      <c r="D472" s="42"/>
      <c r="E472" s="42"/>
      <c r="F472" s="42"/>
      <c r="G472" s="42"/>
      <c r="H472" s="42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  <c r="AA472" s="57"/>
    </row>
    <row r="473">
      <c r="A473" s="42"/>
      <c r="B473" s="42"/>
      <c r="C473" s="42"/>
      <c r="D473" s="42"/>
      <c r="E473" s="42"/>
      <c r="F473" s="42"/>
      <c r="G473" s="42"/>
      <c r="H473" s="42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  <c r="AA473" s="57"/>
    </row>
    <row r="474">
      <c r="A474" s="42"/>
      <c r="B474" s="42"/>
      <c r="C474" s="42"/>
      <c r="D474" s="42"/>
      <c r="E474" s="42"/>
      <c r="F474" s="42"/>
      <c r="G474" s="42"/>
      <c r="H474" s="42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  <c r="AA474" s="57"/>
    </row>
    <row r="475">
      <c r="A475" s="42"/>
      <c r="B475" s="42"/>
      <c r="C475" s="42"/>
      <c r="D475" s="42"/>
      <c r="E475" s="42"/>
      <c r="F475" s="42"/>
      <c r="G475" s="42"/>
      <c r="H475" s="42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  <c r="AA475" s="57"/>
    </row>
    <row r="476">
      <c r="A476" s="42"/>
      <c r="B476" s="42"/>
      <c r="C476" s="42"/>
      <c r="D476" s="42"/>
      <c r="E476" s="42"/>
      <c r="F476" s="42"/>
      <c r="G476" s="42"/>
      <c r="H476" s="42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</row>
    <row r="477">
      <c r="A477" s="42"/>
      <c r="B477" s="42"/>
      <c r="C477" s="42"/>
      <c r="D477" s="42"/>
      <c r="E477" s="42"/>
      <c r="F477" s="42"/>
      <c r="G477" s="42"/>
      <c r="H477" s="42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  <c r="AA477" s="57"/>
    </row>
    <row r="478">
      <c r="A478" s="42"/>
      <c r="B478" s="42"/>
      <c r="C478" s="42"/>
      <c r="D478" s="42"/>
      <c r="E478" s="42"/>
      <c r="F478" s="42"/>
      <c r="G478" s="42"/>
      <c r="H478" s="42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</row>
    <row r="479">
      <c r="A479" s="42"/>
      <c r="B479" s="42"/>
      <c r="C479" s="42"/>
      <c r="D479" s="42"/>
      <c r="E479" s="42"/>
      <c r="F479" s="42"/>
      <c r="G479" s="42"/>
      <c r="H479" s="42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  <c r="AA479" s="57"/>
    </row>
    <row r="480">
      <c r="A480" s="42"/>
      <c r="B480" s="42"/>
      <c r="C480" s="42"/>
      <c r="D480" s="42"/>
      <c r="E480" s="42"/>
      <c r="F480" s="42"/>
      <c r="G480" s="42"/>
      <c r="H480" s="42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</row>
    <row r="481">
      <c r="A481" s="42"/>
      <c r="B481" s="42"/>
      <c r="C481" s="42"/>
      <c r="D481" s="42"/>
      <c r="E481" s="42"/>
      <c r="F481" s="42"/>
      <c r="G481" s="42"/>
      <c r="H481" s="42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  <c r="AA481" s="57"/>
    </row>
    <row r="482">
      <c r="A482" s="42"/>
      <c r="B482" s="42"/>
      <c r="C482" s="42"/>
      <c r="D482" s="42"/>
      <c r="E482" s="42"/>
      <c r="F482" s="42"/>
      <c r="G482" s="42"/>
      <c r="H482" s="42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  <c r="AA482" s="57"/>
    </row>
    <row r="483">
      <c r="A483" s="42"/>
      <c r="B483" s="42"/>
      <c r="C483" s="42"/>
      <c r="D483" s="42"/>
      <c r="E483" s="42"/>
      <c r="F483" s="42"/>
      <c r="G483" s="42"/>
      <c r="H483" s="42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</row>
    <row r="484">
      <c r="A484" s="42"/>
      <c r="B484" s="42"/>
      <c r="C484" s="42"/>
      <c r="D484" s="42"/>
      <c r="E484" s="42"/>
      <c r="F484" s="42"/>
      <c r="G484" s="42"/>
      <c r="H484" s="42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  <c r="AA484" s="57"/>
    </row>
    <row r="485">
      <c r="A485" s="42"/>
      <c r="B485" s="42"/>
      <c r="C485" s="42"/>
      <c r="D485" s="42"/>
      <c r="E485" s="42"/>
      <c r="F485" s="42"/>
      <c r="G485" s="42"/>
      <c r="H485" s="42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  <c r="AA485" s="57"/>
    </row>
    <row r="486">
      <c r="A486" s="42"/>
      <c r="B486" s="42"/>
      <c r="C486" s="42"/>
      <c r="D486" s="42"/>
      <c r="E486" s="42"/>
      <c r="F486" s="42"/>
      <c r="G486" s="42"/>
      <c r="H486" s="42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</row>
    <row r="487">
      <c r="A487" s="42"/>
      <c r="B487" s="42"/>
      <c r="C487" s="42"/>
      <c r="D487" s="42"/>
      <c r="E487" s="42"/>
      <c r="F487" s="42"/>
      <c r="G487" s="42"/>
      <c r="H487" s="42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  <c r="AA487" s="57"/>
    </row>
    <row r="488">
      <c r="A488" s="42"/>
      <c r="B488" s="42"/>
      <c r="C488" s="42"/>
      <c r="D488" s="42"/>
      <c r="E488" s="42"/>
      <c r="F488" s="42"/>
      <c r="G488" s="42"/>
      <c r="H488" s="42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  <c r="AA488" s="57"/>
    </row>
    <row r="489">
      <c r="A489" s="42"/>
      <c r="B489" s="42"/>
      <c r="C489" s="42"/>
      <c r="D489" s="42"/>
      <c r="E489" s="42"/>
      <c r="F489" s="42"/>
      <c r="G489" s="42"/>
      <c r="H489" s="42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  <c r="AA489" s="57"/>
    </row>
    <row r="490">
      <c r="A490" s="42"/>
      <c r="B490" s="42"/>
      <c r="C490" s="42"/>
      <c r="D490" s="42"/>
      <c r="E490" s="42"/>
      <c r="F490" s="42"/>
      <c r="G490" s="42"/>
      <c r="H490" s="42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  <c r="AA490" s="57"/>
    </row>
    <row r="491">
      <c r="A491" s="42"/>
      <c r="B491" s="42"/>
      <c r="C491" s="42"/>
      <c r="D491" s="42"/>
      <c r="E491" s="42"/>
      <c r="F491" s="42"/>
      <c r="G491" s="42"/>
      <c r="H491" s="42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  <c r="AA491" s="57"/>
    </row>
    <row r="492">
      <c r="A492" s="42"/>
      <c r="B492" s="42"/>
      <c r="C492" s="42"/>
      <c r="D492" s="42"/>
      <c r="E492" s="42"/>
      <c r="F492" s="42"/>
      <c r="G492" s="42"/>
      <c r="H492" s="42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</row>
    <row r="493">
      <c r="A493" s="42"/>
      <c r="B493" s="42"/>
      <c r="C493" s="42"/>
      <c r="D493" s="42"/>
      <c r="E493" s="42"/>
      <c r="F493" s="42"/>
      <c r="G493" s="42"/>
      <c r="H493" s="42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  <c r="AA493" s="57"/>
    </row>
    <row r="494">
      <c r="A494" s="42"/>
      <c r="B494" s="42"/>
      <c r="C494" s="42"/>
      <c r="D494" s="42"/>
      <c r="E494" s="42"/>
      <c r="F494" s="42"/>
      <c r="G494" s="42"/>
      <c r="H494" s="42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  <c r="AA494" s="57"/>
    </row>
    <row r="495">
      <c r="A495" s="42"/>
      <c r="B495" s="42"/>
      <c r="C495" s="42"/>
      <c r="D495" s="42"/>
      <c r="E495" s="42"/>
      <c r="F495" s="42"/>
      <c r="G495" s="42"/>
      <c r="H495" s="42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  <c r="AA495" s="57"/>
    </row>
    <row r="496">
      <c r="A496" s="42"/>
      <c r="B496" s="42"/>
      <c r="C496" s="42"/>
      <c r="D496" s="42"/>
      <c r="E496" s="42"/>
      <c r="F496" s="42"/>
      <c r="G496" s="42"/>
      <c r="H496" s="42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  <c r="AA496" s="57"/>
    </row>
    <row r="497">
      <c r="A497" s="42"/>
      <c r="B497" s="42"/>
      <c r="C497" s="42"/>
      <c r="D497" s="42"/>
      <c r="E497" s="42"/>
      <c r="F497" s="42"/>
      <c r="G497" s="42"/>
      <c r="H497" s="42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  <c r="AA497" s="57"/>
    </row>
    <row r="498">
      <c r="A498" s="42"/>
      <c r="B498" s="42"/>
      <c r="C498" s="42"/>
      <c r="D498" s="42"/>
      <c r="E498" s="42"/>
      <c r="F498" s="42"/>
      <c r="G498" s="42"/>
      <c r="H498" s="42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  <c r="AA498" s="57"/>
    </row>
    <row r="499">
      <c r="A499" s="42"/>
      <c r="B499" s="42"/>
      <c r="C499" s="42"/>
      <c r="D499" s="42"/>
      <c r="E499" s="42"/>
      <c r="F499" s="42"/>
      <c r="G499" s="42"/>
      <c r="H499" s="42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  <c r="AA499" s="57"/>
    </row>
    <row r="500">
      <c r="A500" s="42"/>
      <c r="B500" s="42"/>
      <c r="C500" s="42"/>
      <c r="D500" s="42"/>
      <c r="E500" s="42"/>
      <c r="F500" s="42"/>
      <c r="G500" s="42"/>
      <c r="H500" s="42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</row>
    <row r="501">
      <c r="A501" s="42"/>
      <c r="B501" s="42"/>
      <c r="C501" s="42"/>
      <c r="D501" s="42"/>
      <c r="E501" s="42"/>
      <c r="F501" s="42"/>
      <c r="G501" s="42"/>
      <c r="H501" s="42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</row>
    <row r="502">
      <c r="A502" s="42"/>
      <c r="B502" s="42"/>
      <c r="C502" s="42"/>
      <c r="D502" s="42"/>
      <c r="E502" s="42"/>
      <c r="F502" s="42"/>
      <c r="G502" s="42"/>
      <c r="H502" s="42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  <c r="AA502" s="57"/>
    </row>
    <row r="503">
      <c r="A503" s="42"/>
      <c r="B503" s="42"/>
      <c r="C503" s="42"/>
      <c r="D503" s="42"/>
      <c r="E503" s="42"/>
      <c r="F503" s="42"/>
      <c r="G503" s="42"/>
      <c r="H503" s="42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  <c r="AA503" s="57"/>
    </row>
    <row r="504">
      <c r="A504" s="42"/>
      <c r="B504" s="42"/>
      <c r="C504" s="42"/>
      <c r="D504" s="42"/>
      <c r="E504" s="42"/>
      <c r="F504" s="42"/>
      <c r="G504" s="42"/>
      <c r="H504" s="42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  <c r="AA504" s="57"/>
    </row>
    <row r="505">
      <c r="A505" s="42"/>
      <c r="B505" s="42"/>
      <c r="C505" s="42"/>
      <c r="D505" s="42"/>
      <c r="E505" s="42"/>
      <c r="F505" s="42"/>
      <c r="G505" s="42"/>
      <c r="H505" s="42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  <c r="AA505" s="57"/>
    </row>
    <row r="506">
      <c r="A506" s="42"/>
      <c r="B506" s="42"/>
      <c r="C506" s="42"/>
      <c r="D506" s="42"/>
      <c r="E506" s="42"/>
      <c r="F506" s="42"/>
      <c r="G506" s="42"/>
      <c r="H506" s="42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  <c r="AA506" s="57"/>
    </row>
    <row r="507">
      <c r="A507" s="42"/>
      <c r="B507" s="42"/>
      <c r="C507" s="42"/>
      <c r="D507" s="42"/>
      <c r="E507" s="42"/>
      <c r="F507" s="42"/>
      <c r="G507" s="42"/>
      <c r="H507" s="42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  <c r="AA507" s="57"/>
    </row>
    <row r="508">
      <c r="A508" s="42"/>
      <c r="B508" s="42"/>
      <c r="C508" s="42"/>
      <c r="D508" s="42"/>
      <c r="E508" s="42"/>
      <c r="F508" s="42"/>
      <c r="G508" s="42"/>
      <c r="H508" s="42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  <c r="AA508" s="57"/>
    </row>
    <row r="509">
      <c r="A509" s="42"/>
      <c r="B509" s="42"/>
      <c r="C509" s="42"/>
      <c r="D509" s="42"/>
      <c r="E509" s="42"/>
      <c r="F509" s="42"/>
      <c r="G509" s="42"/>
      <c r="H509" s="42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  <c r="AA509" s="57"/>
    </row>
    <row r="510">
      <c r="A510" s="42"/>
      <c r="B510" s="42"/>
      <c r="C510" s="42"/>
      <c r="D510" s="42"/>
      <c r="E510" s="42"/>
      <c r="F510" s="42"/>
      <c r="G510" s="42"/>
      <c r="H510" s="42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  <c r="AA510" s="57"/>
    </row>
    <row r="511">
      <c r="A511" s="42"/>
      <c r="B511" s="42"/>
      <c r="C511" s="42"/>
      <c r="D511" s="42"/>
      <c r="E511" s="42"/>
      <c r="F511" s="42"/>
      <c r="G511" s="42"/>
      <c r="H511" s="42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  <c r="AA511" s="57"/>
    </row>
    <row r="512">
      <c r="A512" s="42"/>
      <c r="B512" s="42"/>
      <c r="C512" s="42"/>
      <c r="D512" s="42"/>
      <c r="E512" s="42"/>
      <c r="F512" s="42"/>
      <c r="G512" s="42"/>
      <c r="H512" s="42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  <c r="AA512" s="57"/>
    </row>
    <row r="513">
      <c r="A513" s="42"/>
      <c r="B513" s="42"/>
      <c r="C513" s="42"/>
      <c r="D513" s="42"/>
      <c r="E513" s="42"/>
      <c r="F513" s="42"/>
      <c r="G513" s="42"/>
      <c r="H513" s="42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  <c r="AA513" s="57"/>
    </row>
    <row r="514">
      <c r="A514" s="42"/>
      <c r="B514" s="42"/>
      <c r="C514" s="42"/>
      <c r="D514" s="42"/>
      <c r="E514" s="42"/>
      <c r="F514" s="42"/>
      <c r="G514" s="42"/>
      <c r="H514" s="42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  <c r="AA514" s="57"/>
    </row>
    <row r="515">
      <c r="A515" s="42"/>
      <c r="B515" s="42"/>
      <c r="C515" s="42"/>
      <c r="D515" s="42"/>
      <c r="E515" s="42"/>
      <c r="F515" s="42"/>
      <c r="G515" s="42"/>
      <c r="H515" s="42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  <c r="AA515" s="57"/>
    </row>
    <row r="516">
      <c r="A516" s="42"/>
      <c r="B516" s="42"/>
      <c r="C516" s="42"/>
      <c r="D516" s="42"/>
      <c r="E516" s="42"/>
      <c r="F516" s="42"/>
      <c r="G516" s="42"/>
      <c r="H516" s="42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  <c r="AA516" s="57"/>
    </row>
    <row r="517">
      <c r="A517" s="42"/>
      <c r="B517" s="42"/>
      <c r="C517" s="42"/>
      <c r="D517" s="42"/>
      <c r="E517" s="42"/>
      <c r="F517" s="42"/>
      <c r="G517" s="42"/>
      <c r="H517" s="42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  <c r="AA517" s="57"/>
    </row>
    <row r="518">
      <c r="A518" s="42"/>
      <c r="B518" s="42"/>
      <c r="C518" s="42"/>
      <c r="D518" s="42"/>
      <c r="E518" s="42"/>
      <c r="F518" s="42"/>
      <c r="G518" s="42"/>
      <c r="H518" s="42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  <c r="AA518" s="57"/>
    </row>
    <row r="519">
      <c r="A519" s="42"/>
      <c r="B519" s="42"/>
      <c r="C519" s="42"/>
      <c r="D519" s="42"/>
      <c r="E519" s="42"/>
      <c r="F519" s="42"/>
      <c r="G519" s="42"/>
      <c r="H519" s="42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  <c r="AA519" s="57"/>
    </row>
    <row r="520">
      <c r="A520" s="42"/>
      <c r="B520" s="42"/>
      <c r="C520" s="42"/>
      <c r="D520" s="42"/>
      <c r="E520" s="42"/>
      <c r="F520" s="42"/>
      <c r="G520" s="42"/>
      <c r="H520" s="42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  <c r="AA520" s="57"/>
    </row>
    <row r="521">
      <c r="A521" s="42"/>
      <c r="B521" s="42"/>
      <c r="C521" s="42"/>
      <c r="D521" s="42"/>
      <c r="E521" s="42"/>
      <c r="F521" s="42"/>
      <c r="G521" s="42"/>
      <c r="H521" s="42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  <c r="AA521" s="57"/>
    </row>
    <row r="522">
      <c r="A522" s="42"/>
      <c r="B522" s="42"/>
      <c r="C522" s="42"/>
      <c r="D522" s="42"/>
      <c r="E522" s="42"/>
      <c r="F522" s="42"/>
      <c r="G522" s="42"/>
      <c r="H522" s="42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  <c r="AA522" s="57"/>
    </row>
    <row r="523">
      <c r="A523" s="42"/>
      <c r="B523" s="42"/>
      <c r="C523" s="42"/>
      <c r="D523" s="42"/>
      <c r="E523" s="42"/>
      <c r="F523" s="42"/>
      <c r="G523" s="42"/>
      <c r="H523" s="42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  <c r="AA523" s="57"/>
    </row>
    <row r="524">
      <c r="A524" s="42"/>
      <c r="B524" s="42"/>
      <c r="C524" s="42"/>
      <c r="D524" s="42"/>
      <c r="E524" s="42"/>
      <c r="F524" s="42"/>
      <c r="G524" s="42"/>
      <c r="H524" s="42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  <c r="AA524" s="57"/>
    </row>
    <row r="525">
      <c r="A525" s="42"/>
      <c r="B525" s="42"/>
      <c r="C525" s="42"/>
      <c r="D525" s="42"/>
      <c r="E525" s="42"/>
      <c r="F525" s="42"/>
      <c r="G525" s="42"/>
      <c r="H525" s="42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  <c r="AA525" s="57"/>
    </row>
    <row r="526">
      <c r="A526" s="42"/>
      <c r="B526" s="42"/>
      <c r="C526" s="42"/>
      <c r="D526" s="42"/>
      <c r="E526" s="42"/>
      <c r="F526" s="42"/>
      <c r="G526" s="42"/>
      <c r="H526" s="42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  <c r="AA526" s="57"/>
    </row>
    <row r="527">
      <c r="A527" s="42"/>
      <c r="B527" s="42"/>
      <c r="C527" s="42"/>
      <c r="D527" s="42"/>
      <c r="E527" s="42"/>
      <c r="F527" s="42"/>
      <c r="G527" s="42"/>
      <c r="H527" s="42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  <c r="AA527" s="57"/>
    </row>
    <row r="528">
      <c r="A528" s="42"/>
      <c r="B528" s="42"/>
      <c r="C528" s="42"/>
      <c r="D528" s="42"/>
      <c r="E528" s="42"/>
      <c r="F528" s="42"/>
      <c r="G528" s="42"/>
      <c r="H528" s="42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  <c r="AA528" s="57"/>
    </row>
    <row r="529">
      <c r="A529" s="42"/>
      <c r="B529" s="42"/>
      <c r="C529" s="42"/>
      <c r="D529" s="42"/>
      <c r="E529" s="42"/>
      <c r="F529" s="42"/>
      <c r="G529" s="42"/>
      <c r="H529" s="42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  <c r="AA529" s="57"/>
    </row>
    <row r="530">
      <c r="A530" s="42"/>
      <c r="B530" s="42"/>
      <c r="C530" s="42"/>
      <c r="D530" s="42"/>
      <c r="E530" s="42"/>
      <c r="F530" s="42"/>
      <c r="G530" s="42"/>
      <c r="H530" s="42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  <c r="AA530" s="57"/>
    </row>
    <row r="531">
      <c r="A531" s="42"/>
      <c r="B531" s="42"/>
      <c r="C531" s="42"/>
      <c r="D531" s="42"/>
      <c r="E531" s="42"/>
      <c r="F531" s="42"/>
      <c r="G531" s="42"/>
      <c r="H531" s="42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  <c r="AA531" s="57"/>
    </row>
    <row r="532">
      <c r="A532" s="42"/>
      <c r="B532" s="42"/>
      <c r="C532" s="42"/>
      <c r="D532" s="42"/>
      <c r="E532" s="42"/>
      <c r="F532" s="42"/>
      <c r="G532" s="42"/>
      <c r="H532" s="42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  <c r="AA532" s="57"/>
    </row>
    <row r="533">
      <c r="A533" s="42"/>
      <c r="B533" s="42"/>
      <c r="C533" s="42"/>
      <c r="D533" s="42"/>
      <c r="E533" s="42"/>
      <c r="F533" s="42"/>
      <c r="G533" s="42"/>
      <c r="H533" s="42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  <c r="AA533" s="57"/>
    </row>
    <row r="534">
      <c r="A534" s="42"/>
      <c r="B534" s="42"/>
      <c r="C534" s="42"/>
      <c r="D534" s="42"/>
      <c r="E534" s="42"/>
      <c r="F534" s="42"/>
      <c r="G534" s="42"/>
      <c r="H534" s="42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  <c r="AA534" s="57"/>
    </row>
    <row r="535">
      <c r="A535" s="42"/>
      <c r="B535" s="42"/>
      <c r="C535" s="42"/>
      <c r="D535" s="42"/>
      <c r="E535" s="42"/>
      <c r="F535" s="42"/>
      <c r="G535" s="42"/>
      <c r="H535" s="42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  <c r="AA535" s="57"/>
    </row>
    <row r="536">
      <c r="A536" s="42"/>
      <c r="B536" s="42"/>
      <c r="C536" s="42"/>
      <c r="D536" s="42"/>
      <c r="E536" s="42"/>
      <c r="F536" s="42"/>
      <c r="G536" s="42"/>
      <c r="H536" s="42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  <c r="AA536" s="57"/>
    </row>
    <row r="537">
      <c r="A537" s="42"/>
      <c r="B537" s="42"/>
      <c r="C537" s="42"/>
      <c r="D537" s="42"/>
      <c r="E537" s="42"/>
      <c r="F537" s="42"/>
      <c r="G537" s="42"/>
      <c r="H537" s="42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  <c r="AA537" s="57"/>
    </row>
    <row r="538">
      <c r="A538" s="42"/>
      <c r="B538" s="42"/>
      <c r="C538" s="42"/>
      <c r="D538" s="42"/>
      <c r="E538" s="42"/>
      <c r="F538" s="42"/>
      <c r="G538" s="42"/>
      <c r="H538" s="42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  <c r="AA538" s="57"/>
    </row>
    <row r="539">
      <c r="A539" s="42"/>
      <c r="B539" s="42"/>
      <c r="C539" s="42"/>
      <c r="D539" s="42"/>
      <c r="E539" s="42"/>
      <c r="F539" s="42"/>
      <c r="G539" s="42"/>
      <c r="H539" s="42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  <c r="AA539" s="57"/>
    </row>
    <row r="540">
      <c r="A540" s="42"/>
      <c r="B540" s="42"/>
      <c r="C540" s="42"/>
      <c r="D540" s="42"/>
      <c r="E540" s="42"/>
      <c r="F540" s="42"/>
      <c r="G540" s="42"/>
      <c r="H540" s="42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  <c r="AA540" s="57"/>
    </row>
    <row r="541">
      <c r="A541" s="42"/>
      <c r="B541" s="42"/>
      <c r="C541" s="42"/>
      <c r="D541" s="42"/>
      <c r="E541" s="42"/>
      <c r="F541" s="42"/>
      <c r="G541" s="42"/>
      <c r="H541" s="42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  <c r="AA541" s="57"/>
    </row>
    <row r="542">
      <c r="A542" s="42"/>
      <c r="B542" s="42"/>
      <c r="C542" s="42"/>
      <c r="D542" s="42"/>
      <c r="E542" s="42"/>
      <c r="F542" s="42"/>
      <c r="G542" s="42"/>
      <c r="H542" s="42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  <c r="AA542" s="57"/>
    </row>
    <row r="543">
      <c r="A543" s="42"/>
      <c r="B543" s="42"/>
      <c r="C543" s="42"/>
      <c r="D543" s="42"/>
      <c r="E543" s="42"/>
      <c r="F543" s="42"/>
      <c r="G543" s="42"/>
      <c r="H543" s="42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  <c r="AA543" s="57"/>
    </row>
    <row r="544">
      <c r="A544" s="42"/>
      <c r="B544" s="42"/>
      <c r="C544" s="42"/>
      <c r="D544" s="42"/>
      <c r="E544" s="42"/>
      <c r="F544" s="42"/>
      <c r="G544" s="42"/>
      <c r="H544" s="42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  <c r="AA544" s="57"/>
    </row>
    <row r="545">
      <c r="A545" s="42"/>
      <c r="B545" s="42"/>
      <c r="C545" s="42"/>
      <c r="D545" s="42"/>
      <c r="E545" s="42"/>
      <c r="F545" s="42"/>
      <c r="G545" s="42"/>
      <c r="H545" s="42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  <c r="AA545" s="57"/>
    </row>
    <row r="546">
      <c r="A546" s="42"/>
      <c r="B546" s="42"/>
      <c r="C546" s="42"/>
      <c r="D546" s="42"/>
      <c r="E546" s="42"/>
      <c r="F546" s="42"/>
      <c r="G546" s="42"/>
      <c r="H546" s="42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  <c r="AA546" s="57"/>
    </row>
    <row r="547">
      <c r="A547" s="42"/>
      <c r="B547" s="42"/>
      <c r="C547" s="42"/>
      <c r="D547" s="42"/>
      <c r="E547" s="42"/>
      <c r="F547" s="42"/>
      <c r="G547" s="42"/>
      <c r="H547" s="42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  <c r="AA547" s="57"/>
    </row>
    <row r="548">
      <c r="A548" s="42"/>
      <c r="B548" s="42"/>
      <c r="C548" s="42"/>
      <c r="D548" s="42"/>
      <c r="E548" s="42"/>
      <c r="F548" s="42"/>
      <c r="G548" s="42"/>
      <c r="H548" s="42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  <c r="AA548" s="57"/>
    </row>
    <row r="549">
      <c r="A549" s="42"/>
      <c r="B549" s="42"/>
      <c r="C549" s="42"/>
      <c r="D549" s="42"/>
      <c r="E549" s="42"/>
      <c r="F549" s="42"/>
      <c r="G549" s="42"/>
      <c r="H549" s="42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  <c r="AA549" s="57"/>
    </row>
    <row r="550">
      <c r="A550" s="42"/>
      <c r="B550" s="42"/>
      <c r="C550" s="42"/>
      <c r="D550" s="42"/>
      <c r="E550" s="42"/>
      <c r="F550" s="42"/>
      <c r="G550" s="42"/>
      <c r="H550" s="42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  <c r="AA550" s="57"/>
    </row>
    <row r="551">
      <c r="A551" s="42"/>
      <c r="B551" s="42"/>
      <c r="C551" s="42"/>
      <c r="D551" s="42"/>
      <c r="E551" s="42"/>
      <c r="F551" s="42"/>
      <c r="G551" s="42"/>
      <c r="H551" s="42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  <c r="AA551" s="57"/>
    </row>
    <row r="552">
      <c r="A552" s="42"/>
      <c r="B552" s="42"/>
      <c r="C552" s="42"/>
      <c r="D552" s="42"/>
      <c r="E552" s="42"/>
      <c r="F552" s="42"/>
      <c r="G552" s="42"/>
      <c r="H552" s="42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  <c r="AA552" s="57"/>
    </row>
    <row r="553">
      <c r="A553" s="42"/>
      <c r="B553" s="42"/>
      <c r="C553" s="42"/>
      <c r="D553" s="42"/>
      <c r="E553" s="42"/>
      <c r="F553" s="42"/>
      <c r="G553" s="42"/>
      <c r="H553" s="42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  <c r="AA553" s="57"/>
    </row>
    <row r="554">
      <c r="A554" s="42"/>
      <c r="B554" s="42"/>
      <c r="C554" s="42"/>
      <c r="D554" s="42"/>
      <c r="E554" s="42"/>
      <c r="F554" s="42"/>
      <c r="G554" s="42"/>
      <c r="H554" s="42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  <c r="AA554" s="57"/>
    </row>
    <row r="555">
      <c r="A555" s="42"/>
      <c r="B555" s="42"/>
      <c r="C555" s="42"/>
      <c r="D555" s="42"/>
      <c r="E555" s="42"/>
      <c r="F555" s="42"/>
      <c r="G555" s="42"/>
      <c r="H555" s="42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  <c r="AA555" s="57"/>
    </row>
    <row r="556">
      <c r="A556" s="42"/>
      <c r="B556" s="42"/>
      <c r="C556" s="42"/>
      <c r="D556" s="42"/>
      <c r="E556" s="42"/>
      <c r="F556" s="42"/>
      <c r="G556" s="42"/>
      <c r="H556" s="42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  <c r="AA556" s="57"/>
    </row>
    <row r="557">
      <c r="A557" s="42"/>
      <c r="B557" s="42"/>
      <c r="C557" s="42"/>
      <c r="D557" s="42"/>
      <c r="E557" s="42"/>
      <c r="F557" s="42"/>
      <c r="G557" s="42"/>
      <c r="H557" s="42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  <c r="AA557" s="57"/>
    </row>
    <row r="558">
      <c r="A558" s="42"/>
      <c r="B558" s="42"/>
      <c r="C558" s="42"/>
      <c r="D558" s="42"/>
      <c r="E558" s="42"/>
      <c r="F558" s="42"/>
      <c r="G558" s="42"/>
      <c r="H558" s="42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  <c r="AA558" s="57"/>
    </row>
    <row r="559">
      <c r="A559" s="42"/>
      <c r="B559" s="42"/>
      <c r="C559" s="42"/>
      <c r="D559" s="42"/>
      <c r="E559" s="42"/>
      <c r="F559" s="42"/>
      <c r="G559" s="42"/>
      <c r="H559" s="42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  <c r="AA559" s="57"/>
    </row>
    <row r="560">
      <c r="A560" s="42"/>
      <c r="B560" s="42"/>
      <c r="C560" s="42"/>
      <c r="D560" s="42"/>
      <c r="E560" s="42"/>
      <c r="F560" s="42"/>
      <c r="G560" s="42"/>
      <c r="H560" s="42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  <c r="AA560" s="57"/>
    </row>
    <row r="561">
      <c r="A561" s="42"/>
      <c r="B561" s="42"/>
      <c r="C561" s="42"/>
      <c r="D561" s="42"/>
      <c r="E561" s="42"/>
      <c r="F561" s="42"/>
      <c r="G561" s="42"/>
      <c r="H561" s="42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  <c r="AA561" s="57"/>
    </row>
    <row r="562">
      <c r="A562" s="42"/>
      <c r="B562" s="42"/>
      <c r="C562" s="42"/>
      <c r="D562" s="42"/>
      <c r="E562" s="42"/>
      <c r="F562" s="42"/>
      <c r="G562" s="42"/>
      <c r="H562" s="42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  <c r="AA562" s="57"/>
    </row>
    <row r="563">
      <c r="A563" s="42"/>
      <c r="B563" s="42"/>
      <c r="C563" s="42"/>
      <c r="D563" s="42"/>
      <c r="E563" s="42"/>
      <c r="F563" s="42"/>
      <c r="G563" s="42"/>
      <c r="H563" s="42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  <c r="AA563" s="57"/>
    </row>
    <row r="564">
      <c r="A564" s="42"/>
      <c r="B564" s="42"/>
      <c r="C564" s="42"/>
      <c r="D564" s="42"/>
      <c r="E564" s="42"/>
      <c r="F564" s="42"/>
      <c r="G564" s="42"/>
      <c r="H564" s="42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  <c r="AA564" s="57"/>
    </row>
    <row r="565">
      <c r="A565" s="42"/>
      <c r="B565" s="42"/>
      <c r="C565" s="42"/>
      <c r="D565" s="42"/>
      <c r="E565" s="42"/>
      <c r="F565" s="42"/>
      <c r="G565" s="42"/>
      <c r="H565" s="42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  <c r="AA565" s="57"/>
    </row>
    <row r="566">
      <c r="A566" s="42"/>
      <c r="B566" s="42"/>
      <c r="C566" s="42"/>
      <c r="D566" s="42"/>
      <c r="E566" s="42"/>
      <c r="F566" s="42"/>
      <c r="G566" s="42"/>
      <c r="H566" s="42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  <c r="AA566" s="57"/>
    </row>
    <row r="567">
      <c r="A567" s="42"/>
      <c r="B567" s="42"/>
      <c r="C567" s="42"/>
      <c r="D567" s="42"/>
      <c r="E567" s="42"/>
      <c r="F567" s="42"/>
      <c r="G567" s="42"/>
      <c r="H567" s="42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  <c r="AA567" s="57"/>
    </row>
    <row r="568">
      <c r="A568" s="42"/>
      <c r="B568" s="42"/>
      <c r="C568" s="42"/>
      <c r="D568" s="42"/>
      <c r="E568" s="42"/>
      <c r="F568" s="42"/>
      <c r="G568" s="42"/>
      <c r="H568" s="42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  <c r="AA568" s="57"/>
    </row>
    <row r="569">
      <c r="A569" s="42"/>
      <c r="B569" s="42"/>
      <c r="C569" s="42"/>
      <c r="D569" s="42"/>
      <c r="E569" s="42"/>
      <c r="F569" s="42"/>
      <c r="G569" s="42"/>
      <c r="H569" s="42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  <c r="AA569" s="57"/>
    </row>
    <row r="570">
      <c r="A570" s="42"/>
      <c r="B570" s="42"/>
      <c r="C570" s="42"/>
      <c r="D570" s="42"/>
      <c r="E570" s="42"/>
      <c r="F570" s="42"/>
      <c r="G570" s="42"/>
      <c r="H570" s="42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  <c r="AA570" s="57"/>
    </row>
    <row r="571">
      <c r="A571" s="42"/>
      <c r="B571" s="42"/>
      <c r="C571" s="42"/>
      <c r="D571" s="42"/>
      <c r="E571" s="42"/>
      <c r="F571" s="42"/>
      <c r="G571" s="42"/>
      <c r="H571" s="42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  <c r="AA571" s="57"/>
    </row>
    <row r="572">
      <c r="A572" s="42"/>
      <c r="B572" s="42"/>
      <c r="C572" s="42"/>
      <c r="D572" s="42"/>
      <c r="E572" s="42"/>
      <c r="F572" s="42"/>
      <c r="G572" s="42"/>
      <c r="H572" s="42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  <c r="AA572" s="57"/>
    </row>
    <row r="573">
      <c r="A573" s="42"/>
      <c r="B573" s="42"/>
      <c r="C573" s="42"/>
      <c r="D573" s="42"/>
      <c r="E573" s="42"/>
      <c r="F573" s="42"/>
      <c r="G573" s="42"/>
      <c r="H573" s="42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  <c r="AA573" s="57"/>
    </row>
    <row r="574">
      <c r="A574" s="42"/>
      <c r="B574" s="42"/>
      <c r="C574" s="42"/>
      <c r="D574" s="42"/>
      <c r="E574" s="42"/>
      <c r="F574" s="42"/>
      <c r="G574" s="42"/>
      <c r="H574" s="42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  <c r="AA574" s="57"/>
    </row>
    <row r="575">
      <c r="A575" s="42"/>
      <c r="B575" s="42"/>
      <c r="C575" s="42"/>
      <c r="D575" s="42"/>
      <c r="E575" s="42"/>
      <c r="F575" s="42"/>
      <c r="G575" s="42"/>
      <c r="H575" s="42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  <c r="AA575" s="57"/>
    </row>
    <row r="576">
      <c r="A576" s="42"/>
      <c r="B576" s="42"/>
      <c r="C576" s="42"/>
      <c r="D576" s="42"/>
      <c r="E576" s="42"/>
      <c r="F576" s="42"/>
      <c r="G576" s="42"/>
      <c r="H576" s="42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  <c r="AA576" s="57"/>
    </row>
    <row r="577">
      <c r="A577" s="42"/>
      <c r="B577" s="42"/>
      <c r="C577" s="42"/>
      <c r="D577" s="42"/>
      <c r="E577" s="42"/>
      <c r="F577" s="42"/>
      <c r="G577" s="42"/>
      <c r="H577" s="42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  <c r="AA577" s="57"/>
    </row>
    <row r="578">
      <c r="A578" s="42"/>
      <c r="B578" s="42"/>
      <c r="C578" s="42"/>
      <c r="D578" s="42"/>
      <c r="E578" s="42"/>
      <c r="F578" s="42"/>
      <c r="G578" s="42"/>
      <c r="H578" s="42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  <c r="AA578" s="57"/>
    </row>
    <row r="579">
      <c r="A579" s="42"/>
      <c r="B579" s="42"/>
      <c r="C579" s="42"/>
      <c r="D579" s="42"/>
      <c r="E579" s="42"/>
      <c r="F579" s="42"/>
      <c r="G579" s="42"/>
      <c r="H579" s="42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  <c r="AA579" s="57"/>
    </row>
    <row r="580">
      <c r="A580" s="42"/>
      <c r="B580" s="42"/>
      <c r="C580" s="42"/>
      <c r="D580" s="42"/>
      <c r="E580" s="42"/>
      <c r="F580" s="42"/>
      <c r="G580" s="42"/>
      <c r="H580" s="42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  <c r="AA580" s="57"/>
    </row>
    <row r="581">
      <c r="A581" s="42"/>
      <c r="B581" s="42"/>
      <c r="C581" s="42"/>
      <c r="D581" s="42"/>
      <c r="E581" s="42"/>
      <c r="F581" s="42"/>
      <c r="G581" s="42"/>
      <c r="H581" s="42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  <c r="AA581" s="57"/>
    </row>
    <row r="582">
      <c r="A582" s="42"/>
      <c r="B582" s="42"/>
      <c r="C582" s="42"/>
      <c r="D582" s="42"/>
      <c r="E582" s="42"/>
      <c r="F582" s="42"/>
      <c r="G582" s="42"/>
      <c r="H582" s="42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  <c r="AA582" s="57"/>
    </row>
    <row r="583">
      <c r="A583" s="42"/>
      <c r="B583" s="42"/>
      <c r="C583" s="42"/>
      <c r="D583" s="42"/>
      <c r="E583" s="42"/>
      <c r="F583" s="42"/>
      <c r="G583" s="42"/>
      <c r="H583" s="42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  <c r="AA583" s="57"/>
    </row>
    <row r="584">
      <c r="A584" s="42"/>
      <c r="B584" s="42"/>
      <c r="C584" s="42"/>
      <c r="D584" s="42"/>
      <c r="E584" s="42"/>
      <c r="F584" s="42"/>
      <c r="G584" s="42"/>
      <c r="H584" s="42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  <c r="AA584" s="57"/>
    </row>
    <row r="585">
      <c r="A585" s="42"/>
      <c r="B585" s="42"/>
      <c r="C585" s="42"/>
      <c r="D585" s="42"/>
      <c r="E585" s="42"/>
      <c r="F585" s="42"/>
      <c r="G585" s="42"/>
      <c r="H585" s="42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  <c r="AA585" s="57"/>
    </row>
    <row r="586">
      <c r="A586" s="42"/>
      <c r="B586" s="42"/>
      <c r="C586" s="42"/>
      <c r="D586" s="42"/>
      <c r="E586" s="42"/>
      <c r="F586" s="42"/>
      <c r="G586" s="42"/>
      <c r="H586" s="42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  <c r="AA586" s="57"/>
    </row>
    <row r="587">
      <c r="A587" s="42"/>
      <c r="B587" s="42"/>
      <c r="C587" s="42"/>
      <c r="D587" s="42"/>
      <c r="E587" s="42"/>
      <c r="F587" s="42"/>
      <c r="G587" s="42"/>
      <c r="H587" s="42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  <c r="AA587" s="57"/>
    </row>
    <row r="588">
      <c r="A588" s="42"/>
      <c r="B588" s="42"/>
      <c r="C588" s="42"/>
      <c r="D588" s="42"/>
      <c r="E588" s="42"/>
      <c r="F588" s="42"/>
      <c r="G588" s="42"/>
      <c r="H588" s="42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  <c r="AA588" s="57"/>
    </row>
    <row r="589">
      <c r="A589" s="42"/>
      <c r="B589" s="42"/>
      <c r="C589" s="42"/>
      <c r="D589" s="42"/>
      <c r="E589" s="42"/>
      <c r="F589" s="42"/>
      <c r="G589" s="42"/>
      <c r="H589" s="42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  <c r="AA589" s="57"/>
    </row>
    <row r="590">
      <c r="A590" s="42"/>
      <c r="B590" s="42"/>
      <c r="C590" s="42"/>
      <c r="D590" s="42"/>
      <c r="E590" s="42"/>
      <c r="F590" s="42"/>
      <c r="G590" s="42"/>
      <c r="H590" s="42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  <c r="AA590" s="57"/>
    </row>
    <row r="591">
      <c r="A591" s="42"/>
      <c r="B591" s="42"/>
      <c r="C591" s="42"/>
      <c r="D591" s="42"/>
      <c r="E591" s="42"/>
      <c r="F591" s="42"/>
      <c r="G591" s="42"/>
      <c r="H591" s="42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  <c r="AA591" s="57"/>
    </row>
    <row r="592">
      <c r="A592" s="42"/>
      <c r="B592" s="42"/>
      <c r="C592" s="42"/>
      <c r="D592" s="42"/>
      <c r="E592" s="42"/>
      <c r="F592" s="42"/>
      <c r="G592" s="42"/>
      <c r="H592" s="42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  <c r="AA592" s="57"/>
    </row>
    <row r="593">
      <c r="A593" s="42"/>
      <c r="B593" s="42"/>
      <c r="C593" s="42"/>
      <c r="D593" s="42"/>
      <c r="E593" s="42"/>
      <c r="F593" s="42"/>
      <c r="G593" s="42"/>
      <c r="H593" s="42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  <c r="AA593" s="57"/>
    </row>
    <row r="594">
      <c r="A594" s="42"/>
      <c r="B594" s="42"/>
      <c r="C594" s="42"/>
      <c r="D594" s="42"/>
      <c r="E594" s="42"/>
      <c r="F594" s="42"/>
      <c r="G594" s="42"/>
      <c r="H594" s="42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  <c r="AA594" s="57"/>
    </row>
    <row r="595">
      <c r="A595" s="42"/>
      <c r="B595" s="42"/>
      <c r="C595" s="42"/>
      <c r="D595" s="42"/>
      <c r="E595" s="42"/>
      <c r="F595" s="42"/>
      <c r="G595" s="42"/>
      <c r="H595" s="42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  <c r="AA595" s="57"/>
    </row>
    <row r="596">
      <c r="A596" s="42"/>
      <c r="B596" s="42"/>
      <c r="C596" s="42"/>
      <c r="D596" s="42"/>
      <c r="E596" s="42"/>
      <c r="F596" s="42"/>
      <c r="G596" s="42"/>
      <c r="H596" s="42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  <c r="AA596" s="57"/>
    </row>
    <row r="597">
      <c r="A597" s="42"/>
      <c r="B597" s="42"/>
      <c r="C597" s="42"/>
      <c r="D597" s="42"/>
      <c r="E597" s="42"/>
      <c r="F597" s="42"/>
      <c r="G597" s="42"/>
      <c r="H597" s="42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  <c r="AA597" s="57"/>
    </row>
    <row r="598">
      <c r="A598" s="42"/>
      <c r="B598" s="42"/>
      <c r="C598" s="42"/>
      <c r="D598" s="42"/>
      <c r="E598" s="42"/>
      <c r="F598" s="42"/>
      <c r="G598" s="42"/>
      <c r="H598" s="42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  <c r="AA598" s="57"/>
    </row>
    <row r="599">
      <c r="A599" s="42"/>
      <c r="B599" s="42"/>
      <c r="C599" s="42"/>
      <c r="D599" s="42"/>
      <c r="E599" s="42"/>
      <c r="F599" s="42"/>
      <c r="G599" s="42"/>
      <c r="H599" s="42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  <c r="AA599" s="57"/>
    </row>
    <row r="600">
      <c r="A600" s="42"/>
      <c r="B600" s="42"/>
      <c r="C600" s="42"/>
      <c r="D600" s="42"/>
      <c r="E600" s="42"/>
      <c r="F600" s="42"/>
      <c r="G600" s="42"/>
      <c r="H600" s="42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  <c r="AA600" s="57"/>
    </row>
    <row r="601">
      <c r="A601" s="42"/>
      <c r="B601" s="42"/>
      <c r="C601" s="42"/>
      <c r="D601" s="42"/>
      <c r="E601" s="42"/>
      <c r="F601" s="42"/>
      <c r="G601" s="42"/>
      <c r="H601" s="42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  <c r="AA601" s="57"/>
    </row>
    <row r="602">
      <c r="A602" s="42"/>
      <c r="B602" s="42"/>
      <c r="C602" s="42"/>
      <c r="D602" s="42"/>
      <c r="E602" s="42"/>
      <c r="F602" s="42"/>
      <c r="G602" s="42"/>
      <c r="H602" s="42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  <c r="AA602" s="57"/>
    </row>
    <row r="603">
      <c r="A603" s="42"/>
      <c r="B603" s="42"/>
      <c r="C603" s="42"/>
      <c r="D603" s="42"/>
      <c r="E603" s="42"/>
      <c r="F603" s="42"/>
      <c r="G603" s="42"/>
      <c r="H603" s="42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  <c r="AA603" s="57"/>
    </row>
    <row r="604">
      <c r="A604" s="42"/>
      <c r="B604" s="42"/>
      <c r="C604" s="42"/>
      <c r="D604" s="42"/>
      <c r="E604" s="42"/>
      <c r="F604" s="42"/>
      <c r="G604" s="42"/>
      <c r="H604" s="42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  <c r="AA604" s="57"/>
    </row>
    <row r="605">
      <c r="A605" s="42"/>
      <c r="B605" s="42"/>
      <c r="C605" s="42"/>
      <c r="D605" s="42"/>
      <c r="E605" s="42"/>
      <c r="F605" s="42"/>
      <c r="G605" s="42"/>
      <c r="H605" s="42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  <c r="AA605" s="57"/>
    </row>
    <row r="606">
      <c r="A606" s="42"/>
      <c r="B606" s="42"/>
      <c r="C606" s="42"/>
      <c r="D606" s="42"/>
      <c r="E606" s="42"/>
      <c r="F606" s="42"/>
      <c r="G606" s="42"/>
      <c r="H606" s="42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  <c r="AA606" s="57"/>
    </row>
    <row r="607">
      <c r="A607" s="42"/>
      <c r="B607" s="42"/>
      <c r="C607" s="42"/>
      <c r="D607" s="42"/>
      <c r="E607" s="42"/>
      <c r="F607" s="42"/>
      <c r="G607" s="42"/>
      <c r="H607" s="42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  <c r="AA607" s="57"/>
    </row>
    <row r="608">
      <c r="A608" s="42"/>
      <c r="B608" s="42"/>
      <c r="C608" s="42"/>
      <c r="D608" s="42"/>
      <c r="E608" s="42"/>
      <c r="F608" s="42"/>
      <c r="G608" s="42"/>
      <c r="H608" s="42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  <c r="AA608" s="57"/>
    </row>
    <row r="609">
      <c r="A609" s="42"/>
      <c r="B609" s="42"/>
      <c r="C609" s="42"/>
      <c r="D609" s="42"/>
      <c r="E609" s="42"/>
      <c r="F609" s="42"/>
      <c r="G609" s="42"/>
      <c r="H609" s="42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  <c r="AA609" s="57"/>
    </row>
    <row r="610">
      <c r="A610" s="42"/>
      <c r="B610" s="42"/>
      <c r="C610" s="42"/>
      <c r="D610" s="42"/>
      <c r="E610" s="42"/>
      <c r="F610" s="42"/>
      <c r="G610" s="42"/>
      <c r="H610" s="42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  <c r="AA610" s="57"/>
    </row>
    <row r="611">
      <c r="A611" s="42"/>
      <c r="B611" s="42"/>
      <c r="C611" s="42"/>
      <c r="D611" s="42"/>
      <c r="E611" s="42"/>
      <c r="F611" s="42"/>
      <c r="G611" s="42"/>
      <c r="H611" s="42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  <c r="AA611" s="57"/>
    </row>
    <row r="612">
      <c r="A612" s="42"/>
      <c r="B612" s="42"/>
      <c r="C612" s="42"/>
      <c r="D612" s="42"/>
      <c r="E612" s="42"/>
      <c r="F612" s="42"/>
      <c r="G612" s="42"/>
      <c r="H612" s="42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  <c r="AA612" s="57"/>
    </row>
    <row r="613">
      <c r="A613" s="42"/>
      <c r="B613" s="42"/>
      <c r="C613" s="42"/>
      <c r="D613" s="42"/>
      <c r="E613" s="42"/>
      <c r="F613" s="42"/>
      <c r="G613" s="42"/>
      <c r="H613" s="42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  <c r="AA613" s="57"/>
    </row>
    <row r="614">
      <c r="A614" s="42"/>
      <c r="B614" s="42"/>
      <c r="C614" s="42"/>
      <c r="D614" s="42"/>
      <c r="E614" s="42"/>
      <c r="F614" s="42"/>
      <c r="G614" s="42"/>
      <c r="H614" s="42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  <c r="AA614" s="57"/>
    </row>
    <row r="615">
      <c r="A615" s="42"/>
      <c r="B615" s="42"/>
      <c r="C615" s="42"/>
      <c r="D615" s="42"/>
      <c r="E615" s="42"/>
      <c r="F615" s="42"/>
      <c r="G615" s="42"/>
      <c r="H615" s="42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  <c r="AA615" s="57"/>
    </row>
    <row r="616">
      <c r="A616" s="42"/>
      <c r="B616" s="42"/>
      <c r="C616" s="42"/>
      <c r="D616" s="42"/>
      <c r="E616" s="42"/>
      <c r="F616" s="42"/>
      <c r="G616" s="42"/>
      <c r="H616" s="42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  <c r="AA616" s="57"/>
    </row>
    <row r="617">
      <c r="A617" s="42"/>
      <c r="B617" s="42"/>
      <c r="C617" s="42"/>
      <c r="D617" s="42"/>
      <c r="E617" s="42"/>
      <c r="F617" s="42"/>
      <c r="G617" s="42"/>
      <c r="H617" s="42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  <c r="AA617" s="57"/>
    </row>
    <row r="618">
      <c r="A618" s="42"/>
      <c r="B618" s="42"/>
      <c r="C618" s="42"/>
      <c r="D618" s="42"/>
      <c r="E618" s="42"/>
      <c r="F618" s="42"/>
      <c r="G618" s="42"/>
      <c r="H618" s="42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  <c r="AA618" s="57"/>
    </row>
    <row r="619">
      <c r="A619" s="42"/>
      <c r="B619" s="42"/>
      <c r="C619" s="42"/>
      <c r="D619" s="42"/>
      <c r="E619" s="42"/>
      <c r="F619" s="42"/>
      <c r="G619" s="42"/>
      <c r="H619" s="42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  <c r="AA619" s="57"/>
    </row>
    <row r="620">
      <c r="A620" s="42"/>
      <c r="B620" s="42"/>
      <c r="C620" s="42"/>
      <c r="D620" s="42"/>
      <c r="E620" s="42"/>
      <c r="F620" s="42"/>
      <c r="G620" s="42"/>
      <c r="H620" s="42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  <c r="AA620" s="57"/>
    </row>
    <row r="621">
      <c r="A621" s="42"/>
      <c r="B621" s="42"/>
      <c r="C621" s="42"/>
      <c r="D621" s="42"/>
      <c r="E621" s="42"/>
      <c r="F621" s="42"/>
      <c r="G621" s="42"/>
      <c r="H621" s="42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  <c r="AA621" s="57"/>
    </row>
    <row r="622">
      <c r="A622" s="42"/>
      <c r="B622" s="42"/>
      <c r="C622" s="42"/>
      <c r="D622" s="42"/>
      <c r="E622" s="42"/>
      <c r="F622" s="42"/>
      <c r="G622" s="42"/>
      <c r="H622" s="42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  <c r="AA622" s="57"/>
    </row>
    <row r="623">
      <c r="A623" s="42"/>
      <c r="B623" s="42"/>
      <c r="C623" s="42"/>
      <c r="D623" s="42"/>
      <c r="E623" s="42"/>
      <c r="F623" s="42"/>
      <c r="G623" s="42"/>
      <c r="H623" s="42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  <c r="AA623" s="57"/>
    </row>
    <row r="624">
      <c r="A624" s="42"/>
      <c r="B624" s="42"/>
      <c r="C624" s="42"/>
      <c r="D624" s="42"/>
      <c r="E624" s="42"/>
      <c r="F624" s="42"/>
      <c r="G624" s="42"/>
      <c r="H624" s="42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  <c r="AA624" s="57"/>
    </row>
    <row r="625">
      <c r="A625" s="42"/>
      <c r="B625" s="42"/>
      <c r="C625" s="42"/>
      <c r="D625" s="42"/>
      <c r="E625" s="42"/>
      <c r="F625" s="42"/>
      <c r="G625" s="42"/>
      <c r="H625" s="42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  <c r="AA625" s="57"/>
    </row>
    <row r="626">
      <c r="A626" s="42"/>
      <c r="B626" s="42"/>
      <c r="C626" s="42"/>
      <c r="D626" s="42"/>
      <c r="E626" s="42"/>
      <c r="F626" s="42"/>
      <c r="G626" s="42"/>
      <c r="H626" s="42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  <c r="AA626" s="57"/>
    </row>
    <row r="627">
      <c r="A627" s="42"/>
      <c r="B627" s="42"/>
      <c r="C627" s="42"/>
      <c r="D627" s="42"/>
      <c r="E627" s="42"/>
      <c r="F627" s="42"/>
      <c r="G627" s="42"/>
      <c r="H627" s="42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  <c r="AA627" s="57"/>
    </row>
    <row r="628">
      <c r="A628" s="42"/>
      <c r="B628" s="42"/>
      <c r="C628" s="42"/>
      <c r="D628" s="42"/>
      <c r="E628" s="42"/>
      <c r="F628" s="42"/>
      <c r="G628" s="42"/>
      <c r="H628" s="42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  <c r="AA628" s="57"/>
    </row>
    <row r="629">
      <c r="A629" s="42"/>
      <c r="B629" s="42"/>
      <c r="C629" s="42"/>
      <c r="D629" s="42"/>
      <c r="E629" s="42"/>
      <c r="F629" s="42"/>
      <c r="G629" s="42"/>
      <c r="H629" s="42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  <c r="AA629" s="57"/>
    </row>
    <row r="630">
      <c r="A630" s="42"/>
      <c r="B630" s="42"/>
      <c r="C630" s="42"/>
      <c r="D630" s="42"/>
      <c r="E630" s="42"/>
      <c r="F630" s="42"/>
      <c r="G630" s="42"/>
      <c r="H630" s="42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  <c r="AA630" s="57"/>
    </row>
    <row r="631">
      <c r="A631" s="42"/>
      <c r="B631" s="42"/>
      <c r="C631" s="42"/>
      <c r="D631" s="42"/>
      <c r="E631" s="42"/>
      <c r="F631" s="42"/>
      <c r="G631" s="42"/>
      <c r="H631" s="42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  <c r="AA631" s="57"/>
    </row>
    <row r="632">
      <c r="A632" s="42"/>
      <c r="B632" s="42"/>
      <c r="C632" s="42"/>
      <c r="D632" s="42"/>
      <c r="E632" s="42"/>
      <c r="F632" s="42"/>
      <c r="G632" s="42"/>
      <c r="H632" s="42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  <c r="AA632" s="57"/>
    </row>
    <row r="633">
      <c r="A633" s="42"/>
      <c r="B633" s="42"/>
      <c r="C633" s="42"/>
      <c r="D633" s="42"/>
      <c r="E633" s="42"/>
      <c r="F633" s="42"/>
      <c r="G633" s="42"/>
      <c r="H633" s="42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  <c r="AA633" s="57"/>
    </row>
    <row r="634">
      <c r="A634" s="42"/>
      <c r="B634" s="42"/>
      <c r="C634" s="42"/>
      <c r="D634" s="42"/>
      <c r="E634" s="42"/>
      <c r="F634" s="42"/>
      <c r="G634" s="42"/>
      <c r="H634" s="42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  <c r="AA634" s="57"/>
    </row>
    <row r="635">
      <c r="A635" s="42"/>
      <c r="B635" s="42"/>
      <c r="C635" s="42"/>
      <c r="D635" s="42"/>
      <c r="E635" s="42"/>
      <c r="F635" s="42"/>
      <c r="G635" s="42"/>
      <c r="H635" s="42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  <c r="AA635" s="57"/>
    </row>
    <row r="636">
      <c r="A636" s="42"/>
      <c r="B636" s="42"/>
      <c r="C636" s="42"/>
      <c r="D636" s="42"/>
      <c r="E636" s="42"/>
      <c r="F636" s="42"/>
      <c r="G636" s="42"/>
      <c r="H636" s="42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  <c r="AA636" s="57"/>
    </row>
    <row r="637">
      <c r="A637" s="42"/>
      <c r="B637" s="42"/>
      <c r="C637" s="42"/>
      <c r="D637" s="42"/>
      <c r="E637" s="42"/>
      <c r="F637" s="42"/>
      <c r="G637" s="42"/>
      <c r="H637" s="42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  <c r="AA637" s="57"/>
    </row>
    <row r="638">
      <c r="A638" s="42"/>
      <c r="B638" s="42"/>
      <c r="C638" s="42"/>
      <c r="D638" s="42"/>
      <c r="E638" s="42"/>
      <c r="F638" s="42"/>
      <c r="G638" s="42"/>
      <c r="H638" s="42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  <c r="AA638" s="57"/>
    </row>
    <row r="639">
      <c r="A639" s="42"/>
      <c r="B639" s="42"/>
      <c r="C639" s="42"/>
      <c r="D639" s="42"/>
      <c r="E639" s="42"/>
      <c r="F639" s="42"/>
      <c r="G639" s="42"/>
      <c r="H639" s="42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  <c r="AA639" s="57"/>
    </row>
    <row r="640">
      <c r="A640" s="42"/>
      <c r="B640" s="42"/>
      <c r="C640" s="42"/>
      <c r="D640" s="42"/>
      <c r="E640" s="42"/>
      <c r="F640" s="42"/>
      <c r="G640" s="42"/>
      <c r="H640" s="42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  <c r="AA640" s="57"/>
    </row>
    <row r="641">
      <c r="A641" s="42"/>
      <c r="B641" s="42"/>
      <c r="C641" s="42"/>
      <c r="D641" s="42"/>
      <c r="E641" s="42"/>
      <c r="F641" s="42"/>
      <c r="G641" s="42"/>
      <c r="H641" s="42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  <c r="AA641" s="57"/>
    </row>
    <row r="642">
      <c r="A642" s="42"/>
      <c r="B642" s="42"/>
      <c r="C642" s="42"/>
      <c r="D642" s="42"/>
      <c r="E642" s="42"/>
      <c r="F642" s="42"/>
      <c r="G642" s="42"/>
      <c r="H642" s="42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  <c r="AA642" s="57"/>
    </row>
    <row r="643">
      <c r="A643" s="42"/>
      <c r="B643" s="42"/>
      <c r="C643" s="42"/>
      <c r="D643" s="42"/>
      <c r="E643" s="42"/>
      <c r="F643" s="42"/>
      <c r="G643" s="42"/>
      <c r="H643" s="42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  <c r="AA643" s="57"/>
    </row>
    <row r="644">
      <c r="A644" s="42"/>
      <c r="B644" s="42"/>
      <c r="C644" s="42"/>
      <c r="D644" s="42"/>
      <c r="E644" s="42"/>
      <c r="F644" s="42"/>
      <c r="G644" s="42"/>
      <c r="H644" s="42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  <c r="AA644" s="57"/>
    </row>
    <row r="645">
      <c r="A645" s="42"/>
      <c r="B645" s="42"/>
      <c r="C645" s="42"/>
      <c r="D645" s="42"/>
      <c r="E645" s="42"/>
      <c r="F645" s="42"/>
      <c r="G645" s="42"/>
      <c r="H645" s="42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  <c r="AA645" s="57"/>
    </row>
    <row r="646">
      <c r="A646" s="42"/>
      <c r="B646" s="42"/>
      <c r="C646" s="42"/>
      <c r="D646" s="42"/>
      <c r="E646" s="42"/>
      <c r="F646" s="42"/>
      <c r="G646" s="42"/>
      <c r="H646" s="42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  <c r="AA646" s="57"/>
    </row>
    <row r="647">
      <c r="A647" s="42"/>
      <c r="B647" s="42"/>
      <c r="C647" s="42"/>
      <c r="D647" s="42"/>
      <c r="E647" s="42"/>
      <c r="F647" s="42"/>
      <c r="G647" s="42"/>
      <c r="H647" s="42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  <c r="AA647" s="57"/>
    </row>
    <row r="648">
      <c r="A648" s="42"/>
      <c r="B648" s="42"/>
      <c r="C648" s="42"/>
      <c r="D648" s="42"/>
      <c r="E648" s="42"/>
      <c r="F648" s="42"/>
      <c r="G648" s="42"/>
      <c r="H648" s="42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  <c r="AA648" s="57"/>
    </row>
    <row r="649">
      <c r="A649" s="42"/>
      <c r="B649" s="42"/>
      <c r="C649" s="42"/>
      <c r="D649" s="42"/>
      <c r="E649" s="42"/>
      <c r="F649" s="42"/>
      <c r="G649" s="42"/>
      <c r="H649" s="42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  <c r="AA649" s="57"/>
    </row>
    <row r="650">
      <c r="A650" s="42"/>
      <c r="B650" s="42"/>
      <c r="C650" s="42"/>
      <c r="D650" s="42"/>
      <c r="E650" s="42"/>
      <c r="F650" s="42"/>
      <c r="G650" s="42"/>
      <c r="H650" s="42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  <c r="AA650" s="57"/>
    </row>
    <row r="651">
      <c r="A651" s="42"/>
      <c r="B651" s="42"/>
      <c r="C651" s="42"/>
      <c r="D651" s="42"/>
      <c r="E651" s="42"/>
      <c r="F651" s="42"/>
      <c r="G651" s="42"/>
      <c r="H651" s="42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  <c r="AA651" s="57"/>
    </row>
    <row r="652">
      <c r="A652" s="42"/>
      <c r="B652" s="42"/>
      <c r="C652" s="42"/>
      <c r="D652" s="42"/>
      <c r="E652" s="42"/>
      <c r="F652" s="42"/>
      <c r="G652" s="42"/>
      <c r="H652" s="42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  <c r="AA652" s="57"/>
    </row>
    <row r="653">
      <c r="A653" s="42"/>
      <c r="B653" s="42"/>
      <c r="C653" s="42"/>
      <c r="D653" s="42"/>
      <c r="E653" s="42"/>
      <c r="F653" s="42"/>
      <c r="G653" s="42"/>
      <c r="H653" s="42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  <c r="AA653" s="57"/>
    </row>
    <row r="654">
      <c r="A654" s="42"/>
      <c r="B654" s="42"/>
      <c r="C654" s="42"/>
      <c r="D654" s="42"/>
      <c r="E654" s="42"/>
      <c r="F654" s="42"/>
      <c r="G654" s="42"/>
      <c r="H654" s="42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  <c r="AA654" s="57"/>
    </row>
    <row r="655">
      <c r="A655" s="42"/>
      <c r="B655" s="42"/>
      <c r="C655" s="42"/>
      <c r="D655" s="42"/>
      <c r="E655" s="42"/>
      <c r="F655" s="42"/>
      <c r="G655" s="42"/>
      <c r="H655" s="42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  <c r="AA655" s="57"/>
    </row>
    <row r="656">
      <c r="A656" s="42"/>
      <c r="B656" s="42"/>
      <c r="C656" s="42"/>
      <c r="D656" s="42"/>
      <c r="E656" s="42"/>
      <c r="F656" s="42"/>
      <c r="G656" s="42"/>
      <c r="H656" s="42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  <c r="AA656" s="57"/>
    </row>
    <row r="657">
      <c r="A657" s="42"/>
      <c r="B657" s="42"/>
      <c r="C657" s="42"/>
      <c r="D657" s="42"/>
      <c r="E657" s="42"/>
      <c r="F657" s="42"/>
      <c r="G657" s="42"/>
      <c r="H657" s="42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  <c r="AA657" s="57"/>
    </row>
    <row r="658">
      <c r="A658" s="42"/>
      <c r="B658" s="42"/>
      <c r="C658" s="42"/>
      <c r="D658" s="42"/>
      <c r="E658" s="42"/>
      <c r="F658" s="42"/>
      <c r="G658" s="42"/>
      <c r="H658" s="42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  <c r="AA658" s="57"/>
    </row>
    <row r="659">
      <c r="A659" s="42"/>
      <c r="B659" s="42"/>
      <c r="C659" s="42"/>
      <c r="D659" s="42"/>
      <c r="E659" s="42"/>
      <c r="F659" s="42"/>
      <c r="G659" s="42"/>
      <c r="H659" s="42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  <c r="AA659" s="57"/>
    </row>
    <row r="660">
      <c r="A660" s="42"/>
      <c r="B660" s="42"/>
      <c r="C660" s="42"/>
      <c r="D660" s="42"/>
      <c r="E660" s="42"/>
      <c r="F660" s="42"/>
      <c r="G660" s="42"/>
      <c r="H660" s="42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  <c r="AA660" s="57"/>
    </row>
    <row r="661">
      <c r="A661" s="42"/>
      <c r="B661" s="42"/>
      <c r="C661" s="42"/>
      <c r="D661" s="42"/>
      <c r="E661" s="42"/>
      <c r="F661" s="42"/>
      <c r="G661" s="42"/>
      <c r="H661" s="42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  <c r="AA661" s="57"/>
    </row>
    <row r="662">
      <c r="A662" s="42"/>
      <c r="B662" s="42"/>
      <c r="C662" s="42"/>
      <c r="D662" s="42"/>
      <c r="E662" s="42"/>
      <c r="F662" s="42"/>
      <c r="G662" s="42"/>
      <c r="H662" s="42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  <c r="AA662" s="57"/>
    </row>
    <row r="663">
      <c r="A663" s="42"/>
      <c r="B663" s="42"/>
      <c r="C663" s="42"/>
      <c r="D663" s="42"/>
      <c r="E663" s="42"/>
      <c r="F663" s="42"/>
      <c r="G663" s="42"/>
      <c r="H663" s="42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  <c r="AA663" s="57"/>
    </row>
    <row r="664">
      <c r="A664" s="42"/>
      <c r="B664" s="42"/>
      <c r="C664" s="42"/>
      <c r="D664" s="42"/>
      <c r="E664" s="42"/>
      <c r="F664" s="42"/>
      <c r="G664" s="42"/>
      <c r="H664" s="42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  <c r="AA664" s="57"/>
    </row>
    <row r="665">
      <c r="A665" s="42"/>
      <c r="B665" s="42"/>
      <c r="C665" s="42"/>
      <c r="D665" s="42"/>
      <c r="E665" s="42"/>
      <c r="F665" s="42"/>
      <c r="G665" s="42"/>
      <c r="H665" s="42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  <c r="AA665" s="57"/>
    </row>
    <row r="666">
      <c r="A666" s="42"/>
      <c r="B666" s="42"/>
      <c r="C666" s="42"/>
      <c r="D666" s="42"/>
      <c r="E666" s="42"/>
      <c r="F666" s="42"/>
      <c r="G666" s="42"/>
      <c r="H666" s="42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  <c r="AA666" s="57"/>
    </row>
    <row r="667">
      <c r="A667" s="42"/>
      <c r="B667" s="42"/>
      <c r="C667" s="42"/>
      <c r="D667" s="42"/>
      <c r="E667" s="42"/>
      <c r="F667" s="42"/>
      <c r="G667" s="42"/>
      <c r="H667" s="42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  <c r="AA667" s="57"/>
    </row>
    <row r="668">
      <c r="A668" s="42"/>
      <c r="B668" s="42"/>
      <c r="C668" s="42"/>
      <c r="D668" s="42"/>
      <c r="E668" s="42"/>
      <c r="F668" s="42"/>
      <c r="G668" s="42"/>
      <c r="H668" s="42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  <c r="AA668" s="57"/>
    </row>
    <row r="669">
      <c r="A669" s="42"/>
      <c r="B669" s="42"/>
      <c r="C669" s="42"/>
      <c r="D669" s="42"/>
      <c r="E669" s="42"/>
      <c r="F669" s="42"/>
      <c r="G669" s="42"/>
      <c r="H669" s="42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  <c r="AA669" s="57"/>
    </row>
    <row r="670">
      <c r="A670" s="42"/>
      <c r="B670" s="42"/>
      <c r="C670" s="42"/>
      <c r="D670" s="42"/>
      <c r="E670" s="42"/>
      <c r="F670" s="42"/>
      <c r="G670" s="42"/>
      <c r="H670" s="42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  <c r="AA670" s="57"/>
    </row>
    <row r="671">
      <c r="A671" s="42"/>
      <c r="B671" s="42"/>
      <c r="C671" s="42"/>
      <c r="D671" s="42"/>
      <c r="E671" s="42"/>
      <c r="F671" s="42"/>
      <c r="G671" s="42"/>
      <c r="H671" s="42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  <c r="AA671" s="57"/>
    </row>
    <row r="672">
      <c r="A672" s="42"/>
      <c r="B672" s="42"/>
      <c r="C672" s="42"/>
      <c r="D672" s="42"/>
      <c r="E672" s="42"/>
      <c r="F672" s="42"/>
      <c r="G672" s="42"/>
      <c r="H672" s="42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  <c r="AA672" s="57"/>
    </row>
    <row r="673">
      <c r="A673" s="42"/>
      <c r="B673" s="42"/>
      <c r="C673" s="42"/>
      <c r="D673" s="42"/>
      <c r="E673" s="42"/>
      <c r="F673" s="42"/>
      <c r="G673" s="42"/>
      <c r="H673" s="42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  <c r="AA673" s="57"/>
    </row>
    <row r="674">
      <c r="A674" s="42"/>
      <c r="B674" s="42"/>
      <c r="C674" s="42"/>
      <c r="D674" s="42"/>
      <c r="E674" s="42"/>
      <c r="F674" s="42"/>
      <c r="G674" s="42"/>
      <c r="H674" s="42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  <c r="AA674" s="57"/>
    </row>
    <row r="675">
      <c r="A675" s="42"/>
      <c r="B675" s="42"/>
      <c r="C675" s="42"/>
      <c r="D675" s="42"/>
      <c r="E675" s="42"/>
      <c r="F675" s="42"/>
      <c r="G675" s="42"/>
      <c r="H675" s="42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  <c r="AA675" s="57"/>
    </row>
    <row r="676">
      <c r="A676" s="42"/>
      <c r="B676" s="42"/>
      <c r="C676" s="42"/>
      <c r="D676" s="42"/>
      <c r="E676" s="42"/>
      <c r="F676" s="42"/>
      <c r="G676" s="42"/>
      <c r="H676" s="42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  <c r="AA676" s="57"/>
    </row>
    <row r="677">
      <c r="A677" s="42"/>
      <c r="B677" s="42"/>
      <c r="C677" s="42"/>
      <c r="D677" s="42"/>
      <c r="E677" s="42"/>
      <c r="F677" s="42"/>
      <c r="G677" s="42"/>
      <c r="H677" s="42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  <c r="AA677" s="57"/>
    </row>
    <row r="678">
      <c r="A678" s="42"/>
      <c r="B678" s="42"/>
      <c r="C678" s="42"/>
      <c r="D678" s="42"/>
      <c r="E678" s="42"/>
      <c r="F678" s="42"/>
      <c r="G678" s="42"/>
      <c r="H678" s="42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  <c r="AA678" s="57"/>
    </row>
    <row r="679">
      <c r="A679" s="42"/>
      <c r="B679" s="42"/>
      <c r="C679" s="42"/>
      <c r="D679" s="42"/>
      <c r="E679" s="42"/>
      <c r="F679" s="42"/>
      <c r="G679" s="42"/>
      <c r="H679" s="42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  <c r="AA679" s="57"/>
    </row>
    <row r="680">
      <c r="A680" s="42"/>
      <c r="B680" s="42"/>
      <c r="C680" s="42"/>
      <c r="D680" s="42"/>
      <c r="E680" s="42"/>
      <c r="F680" s="42"/>
      <c r="G680" s="42"/>
      <c r="H680" s="42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  <c r="AA680" s="57"/>
    </row>
    <row r="681">
      <c r="A681" s="42"/>
      <c r="B681" s="42"/>
      <c r="C681" s="42"/>
      <c r="D681" s="42"/>
      <c r="E681" s="42"/>
      <c r="F681" s="42"/>
      <c r="G681" s="42"/>
      <c r="H681" s="42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  <c r="AA681" s="57"/>
    </row>
    <row r="682">
      <c r="A682" s="42"/>
      <c r="B682" s="42"/>
      <c r="C682" s="42"/>
      <c r="D682" s="42"/>
      <c r="E682" s="42"/>
      <c r="F682" s="42"/>
      <c r="G682" s="42"/>
      <c r="H682" s="42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  <c r="AA682" s="57"/>
    </row>
    <row r="683">
      <c r="A683" s="42"/>
      <c r="B683" s="42"/>
      <c r="C683" s="42"/>
      <c r="D683" s="42"/>
      <c r="E683" s="42"/>
      <c r="F683" s="42"/>
      <c r="G683" s="42"/>
      <c r="H683" s="42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  <c r="AA683" s="57"/>
    </row>
    <row r="684">
      <c r="A684" s="42"/>
      <c r="B684" s="42"/>
      <c r="C684" s="42"/>
      <c r="D684" s="42"/>
      <c r="E684" s="42"/>
      <c r="F684" s="42"/>
      <c r="G684" s="42"/>
      <c r="H684" s="42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  <c r="AA684" s="57"/>
    </row>
    <row r="685">
      <c r="A685" s="42"/>
      <c r="B685" s="42"/>
      <c r="C685" s="42"/>
      <c r="D685" s="42"/>
      <c r="E685" s="42"/>
      <c r="F685" s="42"/>
      <c r="G685" s="42"/>
      <c r="H685" s="42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  <c r="AA685" s="57"/>
    </row>
    <row r="686">
      <c r="A686" s="42"/>
      <c r="B686" s="42"/>
      <c r="C686" s="42"/>
      <c r="D686" s="42"/>
      <c r="E686" s="42"/>
      <c r="F686" s="42"/>
      <c r="G686" s="42"/>
      <c r="H686" s="42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  <c r="AA686" s="57"/>
    </row>
    <row r="687">
      <c r="A687" s="42"/>
      <c r="B687" s="42"/>
      <c r="C687" s="42"/>
      <c r="D687" s="42"/>
      <c r="E687" s="42"/>
      <c r="F687" s="42"/>
      <c r="G687" s="42"/>
      <c r="H687" s="42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  <c r="AA687" s="57"/>
    </row>
    <row r="688">
      <c r="A688" s="42"/>
      <c r="B688" s="42"/>
      <c r="C688" s="42"/>
      <c r="D688" s="42"/>
      <c r="E688" s="42"/>
      <c r="F688" s="42"/>
      <c r="G688" s="42"/>
      <c r="H688" s="42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  <c r="AA688" s="57"/>
    </row>
    <row r="689">
      <c r="A689" s="42"/>
      <c r="B689" s="42"/>
      <c r="C689" s="42"/>
      <c r="D689" s="42"/>
      <c r="E689" s="42"/>
      <c r="F689" s="42"/>
      <c r="G689" s="42"/>
      <c r="H689" s="42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  <c r="AA689" s="57"/>
    </row>
    <row r="690">
      <c r="A690" s="42"/>
      <c r="B690" s="42"/>
      <c r="C690" s="42"/>
      <c r="D690" s="42"/>
      <c r="E690" s="42"/>
      <c r="F690" s="42"/>
      <c r="G690" s="42"/>
      <c r="H690" s="42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  <c r="AA690" s="57"/>
    </row>
    <row r="691">
      <c r="A691" s="42"/>
      <c r="B691" s="42"/>
      <c r="C691" s="42"/>
      <c r="D691" s="42"/>
      <c r="E691" s="42"/>
      <c r="F691" s="42"/>
      <c r="G691" s="42"/>
      <c r="H691" s="42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  <c r="AA691" s="57"/>
    </row>
    <row r="692">
      <c r="A692" s="42"/>
      <c r="B692" s="42"/>
      <c r="C692" s="42"/>
      <c r="D692" s="42"/>
      <c r="E692" s="42"/>
      <c r="F692" s="42"/>
      <c r="G692" s="42"/>
      <c r="H692" s="42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  <c r="AA692" s="57"/>
    </row>
    <row r="693">
      <c r="A693" s="42"/>
      <c r="B693" s="42"/>
      <c r="C693" s="42"/>
      <c r="D693" s="42"/>
      <c r="E693" s="42"/>
      <c r="F693" s="42"/>
      <c r="G693" s="42"/>
      <c r="H693" s="42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  <c r="AA693" s="57"/>
    </row>
    <row r="694">
      <c r="A694" s="42"/>
      <c r="B694" s="42"/>
      <c r="C694" s="42"/>
      <c r="D694" s="42"/>
      <c r="E694" s="42"/>
      <c r="F694" s="42"/>
      <c r="G694" s="42"/>
      <c r="H694" s="42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  <c r="AA694" s="57"/>
    </row>
    <row r="695">
      <c r="A695" s="42"/>
      <c r="B695" s="42"/>
      <c r="C695" s="42"/>
      <c r="D695" s="42"/>
      <c r="E695" s="42"/>
      <c r="F695" s="42"/>
      <c r="G695" s="42"/>
      <c r="H695" s="42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  <c r="AA695" s="57"/>
    </row>
    <row r="696">
      <c r="A696" s="42"/>
      <c r="B696" s="42"/>
      <c r="C696" s="42"/>
      <c r="D696" s="42"/>
      <c r="E696" s="42"/>
      <c r="F696" s="42"/>
      <c r="G696" s="42"/>
      <c r="H696" s="42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  <c r="AA696" s="57"/>
    </row>
    <row r="697">
      <c r="A697" s="42"/>
      <c r="B697" s="42"/>
      <c r="C697" s="42"/>
      <c r="D697" s="42"/>
      <c r="E697" s="42"/>
      <c r="F697" s="42"/>
      <c r="G697" s="42"/>
      <c r="H697" s="42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  <c r="AA697" s="57"/>
    </row>
    <row r="698">
      <c r="A698" s="42"/>
      <c r="B698" s="42"/>
      <c r="C698" s="42"/>
      <c r="D698" s="42"/>
      <c r="E698" s="42"/>
      <c r="F698" s="42"/>
      <c r="G698" s="42"/>
      <c r="H698" s="42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  <c r="AA698" s="57"/>
    </row>
    <row r="699">
      <c r="A699" s="42"/>
      <c r="B699" s="42"/>
      <c r="C699" s="42"/>
      <c r="D699" s="42"/>
      <c r="E699" s="42"/>
      <c r="F699" s="42"/>
      <c r="G699" s="42"/>
      <c r="H699" s="42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  <c r="AA699" s="57"/>
    </row>
    <row r="700">
      <c r="A700" s="42"/>
      <c r="B700" s="42"/>
      <c r="C700" s="42"/>
      <c r="D700" s="42"/>
      <c r="E700" s="42"/>
      <c r="F700" s="42"/>
      <c r="G700" s="42"/>
      <c r="H700" s="42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  <c r="AA700" s="57"/>
    </row>
    <row r="701">
      <c r="A701" s="42"/>
      <c r="B701" s="42"/>
      <c r="C701" s="42"/>
      <c r="D701" s="42"/>
      <c r="E701" s="42"/>
      <c r="F701" s="42"/>
      <c r="G701" s="42"/>
      <c r="H701" s="42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  <c r="AA701" s="57"/>
    </row>
    <row r="702">
      <c r="A702" s="42"/>
      <c r="B702" s="42"/>
      <c r="C702" s="42"/>
      <c r="D702" s="42"/>
      <c r="E702" s="42"/>
      <c r="F702" s="42"/>
      <c r="G702" s="42"/>
      <c r="H702" s="42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  <c r="AA702" s="57"/>
    </row>
    <row r="703">
      <c r="A703" s="42"/>
      <c r="B703" s="42"/>
      <c r="C703" s="42"/>
      <c r="D703" s="42"/>
      <c r="E703" s="42"/>
      <c r="F703" s="42"/>
      <c r="G703" s="42"/>
      <c r="H703" s="42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  <c r="AA703" s="57"/>
    </row>
    <row r="704">
      <c r="A704" s="42"/>
      <c r="B704" s="42"/>
      <c r="C704" s="42"/>
      <c r="D704" s="42"/>
      <c r="E704" s="42"/>
      <c r="F704" s="42"/>
      <c r="G704" s="42"/>
      <c r="H704" s="42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  <c r="AA704" s="57"/>
    </row>
    <row r="705">
      <c r="A705" s="42"/>
      <c r="B705" s="42"/>
      <c r="C705" s="42"/>
      <c r="D705" s="42"/>
      <c r="E705" s="42"/>
      <c r="F705" s="42"/>
      <c r="G705" s="42"/>
      <c r="H705" s="42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  <c r="AA705" s="57"/>
    </row>
    <row r="706">
      <c r="A706" s="42"/>
      <c r="B706" s="42"/>
      <c r="C706" s="42"/>
      <c r="D706" s="42"/>
      <c r="E706" s="42"/>
      <c r="F706" s="42"/>
      <c r="G706" s="42"/>
      <c r="H706" s="42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  <c r="AA706" s="57"/>
    </row>
    <row r="707">
      <c r="A707" s="42"/>
      <c r="B707" s="42"/>
      <c r="C707" s="42"/>
      <c r="D707" s="42"/>
      <c r="E707" s="42"/>
      <c r="F707" s="42"/>
      <c r="G707" s="42"/>
      <c r="H707" s="42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  <c r="AA707" s="57"/>
    </row>
    <row r="708">
      <c r="A708" s="42"/>
      <c r="B708" s="42"/>
      <c r="C708" s="42"/>
      <c r="D708" s="42"/>
      <c r="E708" s="42"/>
      <c r="F708" s="42"/>
      <c r="G708" s="42"/>
      <c r="H708" s="42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  <c r="AA708" s="57"/>
    </row>
    <row r="709">
      <c r="A709" s="42"/>
      <c r="B709" s="42"/>
      <c r="C709" s="42"/>
      <c r="D709" s="42"/>
      <c r="E709" s="42"/>
      <c r="F709" s="42"/>
      <c r="G709" s="42"/>
      <c r="H709" s="42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  <c r="AA709" s="57"/>
    </row>
    <row r="710">
      <c r="A710" s="42"/>
      <c r="B710" s="42"/>
      <c r="C710" s="42"/>
      <c r="D710" s="42"/>
      <c r="E710" s="42"/>
      <c r="F710" s="42"/>
      <c r="G710" s="42"/>
      <c r="H710" s="42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  <c r="AA710" s="57"/>
    </row>
    <row r="711">
      <c r="A711" s="42"/>
      <c r="B711" s="42"/>
      <c r="C711" s="42"/>
      <c r="D711" s="42"/>
      <c r="E711" s="42"/>
      <c r="F711" s="42"/>
      <c r="G711" s="42"/>
      <c r="H711" s="42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  <c r="AA711" s="57"/>
    </row>
    <row r="712">
      <c r="A712" s="42"/>
      <c r="B712" s="42"/>
      <c r="C712" s="42"/>
      <c r="D712" s="42"/>
      <c r="E712" s="42"/>
      <c r="F712" s="42"/>
      <c r="G712" s="42"/>
      <c r="H712" s="42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  <c r="AA712" s="57"/>
    </row>
    <row r="713">
      <c r="A713" s="42"/>
      <c r="B713" s="42"/>
      <c r="C713" s="42"/>
      <c r="D713" s="42"/>
      <c r="E713" s="42"/>
      <c r="F713" s="42"/>
      <c r="G713" s="42"/>
      <c r="H713" s="42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  <c r="AA713" s="57"/>
    </row>
    <row r="714">
      <c r="A714" s="42"/>
      <c r="B714" s="42"/>
      <c r="C714" s="42"/>
      <c r="D714" s="42"/>
      <c r="E714" s="42"/>
      <c r="F714" s="42"/>
      <c r="G714" s="42"/>
      <c r="H714" s="42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  <c r="AA714" s="57"/>
    </row>
    <row r="715">
      <c r="A715" s="42"/>
      <c r="B715" s="42"/>
      <c r="C715" s="42"/>
      <c r="D715" s="42"/>
      <c r="E715" s="42"/>
      <c r="F715" s="42"/>
      <c r="G715" s="42"/>
      <c r="H715" s="42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  <c r="AA715" s="57"/>
    </row>
    <row r="716">
      <c r="A716" s="42"/>
      <c r="B716" s="42"/>
      <c r="C716" s="42"/>
      <c r="D716" s="42"/>
      <c r="E716" s="42"/>
      <c r="F716" s="42"/>
      <c r="G716" s="42"/>
      <c r="H716" s="42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  <c r="AA716" s="57"/>
    </row>
    <row r="717">
      <c r="A717" s="42"/>
      <c r="B717" s="42"/>
      <c r="C717" s="42"/>
      <c r="D717" s="42"/>
      <c r="E717" s="42"/>
      <c r="F717" s="42"/>
      <c r="G717" s="42"/>
      <c r="H717" s="42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  <c r="AA717" s="57"/>
    </row>
    <row r="718">
      <c r="A718" s="42"/>
      <c r="B718" s="42"/>
      <c r="C718" s="42"/>
      <c r="D718" s="42"/>
      <c r="E718" s="42"/>
      <c r="F718" s="42"/>
      <c r="G718" s="42"/>
      <c r="H718" s="42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  <c r="AA718" s="57"/>
    </row>
    <row r="719">
      <c r="A719" s="42"/>
      <c r="B719" s="42"/>
      <c r="C719" s="42"/>
      <c r="D719" s="42"/>
      <c r="E719" s="42"/>
      <c r="F719" s="42"/>
      <c r="G719" s="42"/>
      <c r="H719" s="42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  <c r="AA719" s="57"/>
    </row>
    <row r="720">
      <c r="A720" s="42"/>
      <c r="B720" s="42"/>
      <c r="C720" s="42"/>
      <c r="D720" s="42"/>
      <c r="E720" s="42"/>
      <c r="F720" s="42"/>
      <c r="G720" s="42"/>
      <c r="H720" s="42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  <c r="AA720" s="57"/>
    </row>
    <row r="721">
      <c r="A721" s="42"/>
      <c r="B721" s="42"/>
      <c r="C721" s="42"/>
      <c r="D721" s="42"/>
      <c r="E721" s="42"/>
      <c r="F721" s="42"/>
      <c r="G721" s="42"/>
      <c r="H721" s="42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  <c r="AA721" s="57"/>
    </row>
    <row r="722">
      <c r="A722" s="42"/>
      <c r="B722" s="42"/>
      <c r="C722" s="42"/>
      <c r="D722" s="42"/>
      <c r="E722" s="42"/>
      <c r="F722" s="42"/>
      <c r="G722" s="42"/>
      <c r="H722" s="42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  <c r="AA722" s="57"/>
    </row>
    <row r="723">
      <c r="A723" s="42"/>
      <c r="B723" s="42"/>
      <c r="C723" s="42"/>
      <c r="D723" s="42"/>
      <c r="E723" s="42"/>
      <c r="F723" s="42"/>
      <c r="G723" s="42"/>
      <c r="H723" s="42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  <c r="AA723" s="57"/>
    </row>
    <row r="724">
      <c r="A724" s="42"/>
      <c r="B724" s="42"/>
      <c r="C724" s="42"/>
      <c r="D724" s="42"/>
      <c r="E724" s="42"/>
      <c r="F724" s="42"/>
      <c r="G724" s="42"/>
      <c r="H724" s="42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  <c r="AA724" s="57"/>
    </row>
    <row r="725">
      <c r="A725" s="42"/>
      <c r="B725" s="42"/>
      <c r="C725" s="42"/>
      <c r="D725" s="42"/>
      <c r="E725" s="42"/>
      <c r="F725" s="42"/>
      <c r="G725" s="42"/>
      <c r="H725" s="42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  <c r="AA725" s="57"/>
    </row>
    <row r="726">
      <c r="A726" s="42"/>
      <c r="B726" s="42"/>
      <c r="C726" s="42"/>
      <c r="D726" s="42"/>
      <c r="E726" s="42"/>
      <c r="F726" s="42"/>
      <c r="G726" s="42"/>
      <c r="H726" s="42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  <c r="AA726" s="57"/>
    </row>
    <row r="727">
      <c r="A727" s="42"/>
      <c r="B727" s="42"/>
      <c r="C727" s="42"/>
      <c r="D727" s="42"/>
      <c r="E727" s="42"/>
      <c r="F727" s="42"/>
      <c r="G727" s="42"/>
      <c r="H727" s="42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  <c r="AA727" s="57"/>
    </row>
    <row r="728">
      <c r="A728" s="42"/>
      <c r="B728" s="42"/>
      <c r="C728" s="42"/>
      <c r="D728" s="42"/>
      <c r="E728" s="42"/>
      <c r="F728" s="42"/>
      <c r="G728" s="42"/>
      <c r="H728" s="42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  <c r="AA728" s="57"/>
    </row>
    <row r="729">
      <c r="A729" s="42"/>
      <c r="B729" s="42"/>
      <c r="C729" s="42"/>
      <c r="D729" s="42"/>
      <c r="E729" s="42"/>
      <c r="F729" s="42"/>
      <c r="G729" s="42"/>
      <c r="H729" s="42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  <c r="AA729" s="57"/>
    </row>
    <row r="730">
      <c r="A730" s="42"/>
      <c r="B730" s="42"/>
      <c r="C730" s="42"/>
      <c r="D730" s="42"/>
      <c r="E730" s="42"/>
      <c r="F730" s="42"/>
      <c r="G730" s="42"/>
      <c r="H730" s="42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  <c r="AA730" s="57"/>
    </row>
    <row r="731">
      <c r="A731" s="42"/>
      <c r="B731" s="42"/>
      <c r="C731" s="42"/>
      <c r="D731" s="42"/>
      <c r="E731" s="42"/>
      <c r="F731" s="42"/>
      <c r="G731" s="42"/>
      <c r="H731" s="42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  <c r="AA731" s="57"/>
    </row>
    <row r="732">
      <c r="A732" s="42"/>
      <c r="B732" s="42"/>
      <c r="C732" s="42"/>
      <c r="D732" s="42"/>
      <c r="E732" s="42"/>
      <c r="F732" s="42"/>
      <c r="G732" s="42"/>
      <c r="H732" s="42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  <c r="AA732" s="57"/>
    </row>
    <row r="733">
      <c r="A733" s="42"/>
      <c r="B733" s="42"/>
      <c r="C733" s="42"/>
      <c r="D733" s="42"/>
      <c r="E733" s="42"/>
      <c r="F733" s="42"/>
      <c r="G733" s="42"/>
      <c r="H733" s="42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  <c r="AA733" s="57"/>
    </row>
    <row r="734">
      <c r="A734" s="42"/>
      <c r="B734" s="42"/>
      <c r="C734" s="42"/>
      <c r="D734" s="42"/>
      <c r="E734" s="42"/>
      <c r="F734" s="42"/>
      <c r="G734" s="42"/>
      <c r="H734" s="42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  <c r="AA734" s="57"/>
    </row>
    <row r="735">
      <c r="A735" s="42"/>
      <c r="B735" s="42"/>
      <c r="C735" s="42"/>
      <c r="D735" s="42"/>
      <c r="E735" s="42"/>
      <c r="F735" s="42"/>
      <c r="G735" s="42"/>
      <c r="H735" s="42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  <c r="AA735" s="57"/>
    </row>
    <row r="736">
      <c r="A736" s="42"/>
      <c r="B736" s="42"/>
      <c r="C736" s="42"/>
      <c r="D736" s="42"/>
      <c r="E736" s="42"/>
      <c r="F736" s="42"/>
      <c r="G736" s="42"/>
      <c r="H736" s="42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  <c r="AA736" s="57"/>
    </row>
    <row r="737">
      <c r="A737" s="42"/>
      <c r="B737" s="42"/>
      <c r="C737" s="42"/>
      <c r="D737" s="42"/>
      <c r="E737" s="42"/>
      <c r="F737" s="42"/>
      <c r="G737" s="42"/>
      <c r="H737" s="42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  <c r="AA737" s="57"/>
    </row>
    <row r="738">
      <c r="A738" s="42"/>
      <c r="B738" s="42"/>
      <c r="C738" s="42"/>
      <c r="D738" s="42"/>
      <c r="E738" s="42"/>
      <c r="F738" s="42"/>
      <c r="G738" s="42"/>
      <c r="H738" s="42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  <c r="AA738" s="57"/>
    </row>
    <row r="739">
      <c r="A739" s="42"/>
      <c r="B739" s="42"/>
      <c r="C739" s="42"/>
      <c r="D739" s="42"/>
      <c r="E739" s="42"/>
      <c r="F739" s="42"/>
      <c r="G739" s="42"/>
      <c r="H739" s="42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  <c r="AA739" s="57"/>
    </row>
    <row r="740">
      <c r="A740" s="42"/>
      <c r="B740" s="42"/>
      <c r="C740" s="42"/>
      <c r="D740" s="42"/>
      <c r="E740" s="42"/>
      <c r="F740" s="42"/>
      <c r="G740" s="42"/>
      <c r="H740" s="42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  <c r="AA740" s="57"/>
    </row>
    <row r="741">
      <c r="A741" s="42"/>
      <c r="B741" s="42"/>
      <c r="C741" s="42"/>
      <c r="D741" s="42"/>
      <c r="E741" s="42"/>
      <c r="F741" s="42"/>
      <c r="G741" s="42"/>
      <c r="H741" s="42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  <c r="AA741" s="57"/>
    </row>
    <row r="742">
      <c r="A742" s="42"/>
      <c r="B742" s="42"/>
      <c r="C742" s="42"/>
      <c r="D742" s="42"/>
      <c r="E742" s="42"/>
      <c r="F742" s="42"/>
      <c r="G742" s="42"/>
      <c r="H742" s="42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  <c r="AA742" s="57"/>
    </row>
    <row r="743">
      <c r="A743" s="42"/>
      <c r="B743" s="42"/>
      <c r="C743" s="42"/>
      <c r="D743" s="42"/>
      <c r="E743" s="42"/>
      <c r="F743" s="42"/>
      <c r="G743" s="42"/>
      <c r="H743" s="42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  <c r="AA743" s="57"/>
    </row>
    <row r="744">
      <c r="A744" s="42"/>
      <c r="B744" s="42"/>
      <c r="C744" s="42"/>
      <c r="D744" s="42"/>
      <c r="E744" s="42"/>
      <c r="F744" s="42"/>
      <c r="G744" s="42"/>
      <c r="H744" s="42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  <c r="AA744" s="57"/>
    </row>
    <row r="745">
      <c r="A745" s="42"/>
      <c r="B745" s="42"/>
      <c r="C745" s="42"/>
      <c r="D745" s="42"/>
      <c r="E745" s="42"/>
      <c r="F745" s="42"/>
      <c r="G745" s="42"/>
      <c r="H745" s="42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  <c r="AA745" s="57"/>
    </row>
    <row r="746">
      <c r="A746" s="42"/>
      <c r="B746" s="42"/>
      <c r="C746" s="42"/>
      <c r="D746" s="42"/>
      <c r="E746" s="42"/>
      <c r="F746" s="42"/>
      <c r="G746" s="42"/>
      <c r="H746" s="42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  <c r="AA746" s="57"/>
    </row>
    <row r="747">
      <c r="A747" s="42"/>
      <c r="B747" s="42"/>
      <c r="C747" s="42"/>
      <c r="D747" s="42"/>
      <c r="E747" s="42"/>
      <c r="F747" s="42"/>
      <c r="G747" s="42"/>
      <c r="H747" s="42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  <c r="AA747" s="57"/>
    </row>
    <row r="748">
      <c r="A748" s="42"/>
      <c r="B748" s="42"/>
      <c r="C748" s="42"/>
      <c r="D748" s="42"/>
      <c r="E748" s="42"/>
      <c r="F748" s="42"/>
      <c r="G748" s="42"/>
      <c r="H748" s="42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  <c r="AA748" s="57"/>
    </row>
    <row r="749">
      <c r="A749" s="42"/>
      <c r="B749" s="42"/>
      <c r="C749" s="42"/>
      <c r="D749" s="42"/>
      <c r="E749" s="42"/>
      <c r="F749" s="42"/>
      <c r="G749" s="42"/>
      <c r="H749" s="42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  <c r="AA749" s="57"/>
    </row>
    <row r="750">
      <c r="A750" s="42"/>
      <c r="B750" s="42"/>
      <c r="C750" s="42"/>
      <c r="D750" s="42"/>
      <c r="E750" s="42"/>
      <c r="F750" s="42"/>
      <c r="G750" s="42"/>
      <c r="H750" s="42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  <c r="AA750" s="57"/>
    </row>
    <row r="751">
      <c r="A751" s="42"/>
      <c r="B751" s="42"/>
      <c r="C751" s="42"/>
      <c r="D751" s="42"/>
      <c r="E751" s="42"/>
      <c r="F751" s="42"/>
      <c r="G751" s="42"/>
      <c r="H751" s="42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  <c r="AA751" s="57"/>
    </row>
    <row r="752">
      <c r="A752" s="42"/>
      <c r="B752" s="42"/>
      <c r="C752" s="42"/>
      <c r="D752" s="42"/>
      <c r="E752" s="42"/>
      <c r="F752" s="42"/>
      <c r="G752" s="42"/>
      <c r="H752" s="42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  <c r="AA752" s="57"/>
    </row>
    <row r="753">
      <c r="A753" s="42"/>
      <c r="B753" s="42"/>
      <c r="C753" s="42"/>
      <c r="D753" s="42"/>
      <c r="E753" s="42"/>
      <c r="F753" s="42"/>
      <c r="G753" s="42"/>
      <c r="H753" s="42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  <c r="AA753" s="57"/>
    </row>
    <row r="754">
      <c r="A754" s="42"/>
      <c r="B754" s="42"/>
      <c r="C754" s="42"/>
      <c r="D754" s="42"/>
      <c r="E754" s="42"/>
      <c r="F754" s="42"/>
      <c r="G754" s="42"/>
      <c r="H754" s="42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  <c r="AA754" s="57"/>
    </row>
    <row r="755">
      <c r="A755" s="42"/>
      <c r="B755" s="42"/>
      <c r="C755" s="42"/>
      <c r="D755" s="42"/>
      <c r="E755" s="42"/>
      <c r="F755" s="42"/>
      <c r="G755" s="42"/>
      <c r="H755" s="42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  <c r="AA755" s="57"/>
    </row>
    <row r="756">
      <c r="A756" s="42"/>
      <c r="B756" s="42"/>
      <c r="C756" s="42"/>
      <c r="D756" s="42"/>
      <c r="E756" s="42"/>
      <c r="F756" s="42"/>
      <c r="G756" s="42"/>
      <c r="H756" s="42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  <c r="AA756" s="57"/>
    </row>
    <row r="757">
      <c r="A757" s="42"/>
      <c r="B757" s="42"/>
      <c r="C757" s="42"/>
      <c r="D757" s="42"/>
      <c r="E757" s="42"/>
      <c r="F757" s="42"/>
      <c r="G757" s="42"/>
      <c r="H757" s="42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  <c r="AA757" s="57"/>
    </row>
    <row r="758">
      <c r="A758" s="42"/>
      <c r="B758" s="42"/>
      <c r="C758" s="42"/>
      <c r="D758" s="42"/>
      <c r="E758" s="42"/>
      <c r="F758" s="42"/>
      <c r="G758" s="42"/>
      <c r="H758" s="42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  <c r="AA758" s="57"/>
    </row>
    <row r="759">
      <c r="A759" s="42"/>
      <c r="B759" s="42"/>
      <c r="C759" s="42"/>
      <c r="D759" s="42"/>
      <c r="E759" s="42"/>
      <c r="F759" s="42"/>
      <c r="G759" s="42"/>
      <c r="H759" s="42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  <c r="AA759" s="57"/>
    </row>
    <row r="760">
      <c r="A760" s="42"/>
      <c r="B760" s="42"/>
      <c r="C760" s="42"/>
      <c r="D760" s="42"/>
      <c r="E760" s="42"/>
      <c r="F760" s="42"/>
      <c r="G760" s="42"/>
      <c r="H760" s="42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  <c r="AA760" s="57"/>
    </row>
    <row r="761">
      <c r="A761" s="42"/>
      <c r="B761" s="42"/>
      <c r="C761" s="42"/>
      <c r="D761" s="42"/>
      <c r="E761" s="42"/>
      <c r="F761" s="42"/>
      <c r="G761" s="42"/>
      <c r="H761" s="42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  <c r="AA761" s="57"/>
    </row>
    <row r="762">
      <c r="A762" s="42"/>
      <c r="B762" s="42"/>
      <c r="C762" s="42"/>
      <c r="D762" s="42"/>
      <c r="E762" s="42"/>
      <c r="F762" s="42"/>
      <c r="G762" s="42"/>
      <c r="H762" s="42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  <c r="AA762" s="57"/>
    </row>
    <row r="763">
      <c r="A763" s="42"/>
      <c r="B763" s="42"/>
      <c r="C763" s="42"/>
      <c r="D763" s="42"/>
      <c r="E763" s="42"/>
      <c r="F763" s="42"/>
      <c r="G763" s="42"/>
      <c r="H763" s="42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  <c r="AA763" s="57"/>
    </row>
    <row r="764">
      <c r="A764" s="42"/>
      <c r="B764" s="42"/>
      <c r="C764" s="42"/>
      <c r="D764" s="42"/>
      <c r="E764" s="42"/>
      <c r="F764" s="42"/>
      <c r="G764" s="42"/>
      <c r="H764" s="42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  <c r="AA764" s="57"/>
    </row>
    <row r="765">
      <c r="A765" s="42"/>
      <c r="B765" s="42"/>
      <c r="C765" s="42"/>
      <c r="D765" s="42"/>
      <c r="E765" s="42"/>
      <c r="F765" s="42"/>
      <c r="G765" s="42"/>
      <c r="H765" s="42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  <c r="AA765" s="57"/>
    </row>
    <row r="766">
      <c r="A766" s="42"/>
      <c r="B766" s="42"/>
      <c r="C766" s="42"/>
      <c r="D766" s="42"/>
      <c r="E766" s="42"/>
      <c r="F766" s="42"/>
      <c r="G766" s="42"/>
      <c r="H766" s="42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  <c r="AA766" s="57"/>
    </row>
    <row r="767">
      <c r="A767" s="42"/>
      <c r="B767" s="42"/>
      <c r="C767" s="42"/>
      <c r="D767" s="42"/>
      <c r="E767" s="42"/>
      <c r="F767" s="42"/>
      <c r="G767" s="42"/>
      <c r="H767" s="42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  <c r="AA767" s="57"/>
    </row>
    <row r="768">
      <c r="A768" s="42"/>
      <c r="B768" s="42"/>
      <c r="C768" s="42"/>
      <c r="D768" s="42"/>
      <c r="E768" s="42"/>
      <c r="F768" s="42"/>
      <c r="G768" s="42"/>
      <c r="H768" s="42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  <c r="AA768" s="57"/>
    </row>
    <row r="769">
      <c r="A769" s="42"/>
      <c r="B769" s="42"/>
      <c r="C769" s="42"/>
      <c r="D769" s="42"/>
      <c r="E769" s="42"/>
      <c r="F769" s="42"/>
      <c r="G769" s="42"/>
      <c r="H769" s="42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  <c r="AA769" s="57"/>
    </row>
    <row r="770">
      <c r="A770" s="42"/>
      <c r="B770" s="42"/>
      <c r="C770" s="42"/>
      <c r="D770" s="42"/>
      <c r="E770" s="42"/>
      <c r="F770" s="42"/>
      <c r="G770" s="42"/>
      <c r="H770" s="42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  <c r="AA770" s="57"/>
    </row>
    <row r="771">
      <c r="A771" s="42"/>
      <c r="B771" s="42"/>
      <c r="C771" s="42"/>
      <c r="D771" s="42"/>
      <c r="E771" s="42"/>
      <c r="F771" s="42"/>
      <c r="G771" s="42"/>
      <c r="H771" s="42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  <c r="AA771" s="57"/>
    </row>
    <row r="772">
      <c r="A772" s="42"/>
      <c r="B772" s="42"/>
      <c r="C772" s="42"/>
      <c r="D772" s="42"/>
      <c r="E772" s="42"/>
      <c r="F772" s="42"/>
      <c r="G772" s="42"/>
      <c r="H772" s="42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  <c r="AA772" s="57"/>
    </row>
    <row r="773">
      <c r="A773" s="42"/>
      <c r="B773" s="42"/>
      <c r="C773" s="42"/>
      <c r="D773" s="42"/>
      <c r="E773" s="42"/>
      <c r="F773" s="42"/>
      <c r="G773" s="42"/>
      <c r="H773" s="42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  <c r="AA773" s="57"/>
    </row>
    <row r="774">
      <c r="A774" s="42"/>
      <c r="B774" s="42"/>
      <c r="C774" s="42"/>
      <c r="D774" s="42"/>
      <c r="E774" s="42"/>
      <c r="F774" s="42"/>
      <c r="G774" s="42"/>
      <c r="H774" s="42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  <c r="AA774" s="57"/>
    </row>
    <row r="775">
      <c r="A775" s="42"/>
      <c r="B775" s="42"/>
      <c r="C775" s="42"/>
      <c r="D775" s="42"/>
      <c r="E775" s="42"/>
      <c r="F775" s="42"/>
      <c r="G775" s="42"/>
      <c r="H775" s="42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  <c r="AA775" s="57"/>
    </row>
    <row r="776">
      <c r="A776" s="42"/>
      <c r="B776" s="42"/>
      <c r="C776" s="42"/>
      <c r="D776" s="42"/>
      <c r="E776" s="42"/>
      <c r="F776" s="42"/>
      <c r="G776" s="42"/>
      <c r="H776" s="42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  <c r="AA776" s="57"/>
    </row>
    <row r="777">
      <c r="A777" s="42"/>
      <c r="B777" s="42"/>
      <c r="C777" s="42"/>
      <c r="D777" s="42"/>
      <c r="E777" s="42"/>
      <c r="F777" s="42"/>
      <c r="G777" s="42"/>
      <c r="H777" s="42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  <c r="AA777" s="57"/>
    </row>
    <row r="778">
      <c r="A778" s="42"/>
      <c r="B778" s="42"/>
      <c r="C778" s="42"/>
      <c r="D778" s="42"/>
      <c r="E778" s="42"/>
      <c r="F778" s="42"/>
      <c r="G778" s="42"/>
      <c r="H778" s="42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  <c r="AA778" s="57"/>
    </row>
    <row r="779">
      <c r="A779" s="42"/>
      <c r="B779" s="42"/>
      <c r="C779" s="42"/>
      <c r="D779" s="42"/>
      <c r="E779" s="42"/>
      <c r="F779" s="42"/>
      <c r="G779" s="42"/>
      <c r="H779" s="42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  <c r="AA779" s="57"/>
    </row>
    <row r="780">
      <c r="A780" s="42"/>
      <c r="B780" s="42"/>
      <c r="C780" s="42"/>
      <c r="D780" s="42"/>
      <c r="E780" s="42"/>
      <c r="F780" s="42"/>
      <c r="G780" s="42"/>
      <c r="H780" s="42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  <c r="AA780" s="57"/>
    </row>
    <row r="781">
      <c r="A781" s="42"/>
      <c r="B781" s="42"/>
      <c r="C781" s="42"/>
      <c r="D781" s="42"/>
      <c r="E781" s="42"/>
      <c r="F781" s="42"/>
      <c r="G781" s="42"/>
      <c r="H781" s="42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  <c r="AA781" s="57"/>
    </row>
    <row r="782">
      <c r="A782" s="42"/>
      <c r="B782" s="42"/>
      <c r="C782" s="42"/>
      <c r="D782" s="42"/>
      <c r="E782" s="42"/>
      <c r="F782" s="42"/>
      <c r="G782" s="42"/>
      <c r="H782" s="42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  <c r="AA782" s="57"/>
    </row>
    <row r="783">
      <c r="A783" s="42"/>
      <c r="B783" s="42"/>
      <c r="C783" s="42"/>
      <c r="D783" s="42"/>
      <c r="E783" s="42"/>
      <c r="F783" s="42"/>
      <c r="G783" s="42"/>
      <c r="H783" s="42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  <c r="AA783" s="57"/>
    </row>
    <row r="784">
      <c r="A784" s="42"/>
      <c r="B784" s="42"/>
      <c r="C784" s="42"/>
      <c r="D784" s="42"/>
      <c r="E784" s="42"/>
      <c r="F784" s="42"/>
      <c r="G784" s="42"/>
      <c r="H784" s="42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  <c r="AA784" s="57"/>
    </row>
    <row r="785">
      <c r="A785" s="42"/>
      <c r="B785" s="42"/>
      <c r="C785" s="42"/>
      <c r="D785" s="42"/>
      <c r="E785" s="42"/>
      <c r="F785" s="42"/>
      <c r="G785" s="42"/>
      <c r="H785" s="42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  <c r="AA785" s="57"/>
    </row>
    <row r="786">
      <c r="A786" s="42"/>
      <c r="B786" s="42"/>
      <c r="C786" s="42"/>
      <c r="D786" s="42"/>
      <c r="E786" s="42"/>
      <c r="F786" s="42"/>
      <c r="G786" s="42"/>
      <c r="H786" s="42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  <c r="AA786" s="57"/>
    </row>
    <row r="787">
      <c r="A787" s="42"/>
      <c r="B787" s="42"/>
      <c r="C787" s="42"/>
      <c r="D787" s="42"/>
      <c r="E787" s="42"/>
      <c r="F787" s="42"/>
      <c r="G787" s="42"/>
      <c r="H787" s="42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  <c r="AA787" s="57"/>
    </row>
    <row r="788">
      <c r="A788" s="42"/>
      <c r="B788" s="42"/>
      <c r="C788" s="42"/>
      <c r="D788" s="42"/>
      <c r="E788" s="42"/>
      <c r="F788" s="42"/>
      <c r="G788" s="42"/>
      <c r="H788" s="42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  <c r="AA788" s="57"/>
    </row>
    <row r="789">
      <c r="A789" s="42"/>
      <c r="B789" s="42"/>
      <c r="C789" s="42"/>
      <c r="D789" s="42"/>
      <c r="E789" s="42"/>
      <c r="F789" s="42"/>
      <c r="G789" s="42"/>
      <c r="H789" s="42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  <c r="AA789" s="57"/>
    </row>
    <row r="790">
      <c r="A790" s="42"/>
      <c r="B790" s="42"/>
      <c r="C790" s="42"/>
      <c r="D790" s="42"/>
      <c r="E790" s="42"/>
      <c r="F790" s="42"/>
      <c r="G790" s="42"/>
      <c r="H790" s="42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  <c r="AA790" s="57"/>
    </row>
    <row r="791">
      <c r="A791" s="42"/>
      <c r="B791" s="42"/>
      <c r="C791" s="42"/>
      <c r="D791" s="42"/>
      <c r="E791" s="42"/>
      <c r="F791" s="42"/>
      <c r="G791" s="42"/>
      <c r="H791" s="42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  <c r="AA791" s="57"/>
    </row>
    <row r="792">
      <c r="A792" s="42"/>
      <c r="B792" s="42"/>
      <c r="C792" s="42"/>
      <c r="D792" s="42"/>
      <c r="E792" s="42"/>
      <c r="F792" s="42"/>
      <c r="G792" s="42"/>
      <c r="H792" s="42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  <c r="AA792" s="57"/>
    </row>
    <row r="793">
      <c r="A793" s="42"/>
      <c r="B793" s="42"/>
      <c r="C793" s="42"/>
      <c r="D793" s="42"/>
      <c r="E793" s="42"/>
      <c r="F793" s="42"/>
      <c r="G793" s="42"/>
      <c r="H793" s="42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  <c r="AA793" s="57"/>
    </row>
    <row r="794">
      <c r="A794" s="42"/>
      <c r="B794" s="42"/>
      <c r="C794" s="42"/>
      <c r="D794" s="42"/>
      <c r="E794" s="42"/>
      <c r="F794" s="42"/>
      <c r="G794" s="42"/>
      <c r="H794" s="42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  <c r="AA794" s="57"/>
    </row>
    <row r="795">
      <c r="A795" s="42"/>
      <c r="B795" s="42"/>
      <c r="C795" s="42"/>
      <c r="D795" s="42"/>
      <c r="E795" s="42"/>
      <c r="F795" s="42"/>
      <c r="G795" s="42"/>
      <c r="H795" s="42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  <c r="AA795" s="57"/>
    </row>
    <row r="796">
      <c r="A796" s="42"/>
      <c r="B796" s="42"/>
      <c r="C796" s="42"/>
      <c r="D796" s="42"/>
      <c r="E796" s="42"/>
      <c r="F796" s="42"/>
      <c r="G796" s="42"/>
      <c r="H796" s="42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  <c r="AA796" s="57"/>
    </row>
    <row r="797">
      <c r="A797" s="42"/>
      <c r="B797" s="42"/>
      <c r="C797" s="42"/>
      <c r="D797" s="42"/>
      <c r="E797" s="42"/>
      <c r="F797" s="42"/>
      <c r="G797" s="42"/>
      <c r="H797" s="42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  <c r="AA797" s="57"/>
    </row>
    <row r="798">
      <c r="A798" s="42"/>
      <c r="B798" s="42"/>
      <c r="C798" s="42"/>
      <c r="D798" s="42"/>
      <c r="E798" s="42"/>
      <c r="F798" s="42"/>
      <c r="G798" s="42"/>
      <c r="H798" s="42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  <c r="AA798" s="57"/>
    </row>
    <row r="799">
      <c r="A799" s="42"/>
      <c r="B799" s="42"/>
      <c r="C799" s="42"/>
      <c r="D799" s="42"/>
      <c r="E799" s="42"/>
      <c r="F799" s="42"/>
      <c r="G799" s="42"/>
      <c r="H799" s="42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  <c r="AA799" s="57"/>
    </row>
    <row r="800">
      <c r="A800" s="42"/>
      <c r="B800" s="42"/>
      <c r="C800" s="42"/>
      <c r="D800" s="42"/>
      <c r="E800" s="42"/>
      <c r="F800" s="42"/>
      <c r="G800" s="42"/>
      <c r="H800" s="42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  <c r="AA800" s="57"/>
    </row>
    <row r="801">
      <c r="A801" s="42"/>
      <c r="B801" s="42"/>
      <c r="C801" s="42"/>
      <c r="D801" s="42"/>
      <c r="E801" s="42"/>
      <c r="F801" s="42"/>
      <c r="G801" s="42"/>
      <c r="H801" s="42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  <c r="AA801" s="57"/>
    </row>
    <row r="802">
      <c r="A802" s="42"/>
      <c r="B802" s="42"/>
      <c r="C802" s="42"/>
      <c r="D802" s="42"/>
      <c r="E802" s="42"/>
      <c r="F802" s="42"/>
      <c r="G802" s="42"/>
      <c r="H802" s="42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  <c r="AA802" s="57"/>
    </row>
    <row r="803">
      <c r="A803" s="42"/>
      <c r="B803" s="42"/>
      <c r="C803" s="42"/>
      <c r="D803" s="42"/>
      <c r="E803" s="42"/>
      <c r="F803" s="42"/>
      <c r="G803" s="42"/>
      <c r="H803" s="42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  <c r="AA803" s="57"/>
    </row>
    <row r="804">
      <c r="A804" s="42"/>
      <c r="B804" s="42"/>
      <c r="C804" s="42"/>
      <c r="D804" s="42"/>
      <c r="E804" s="42"/>
      <c r="F804" s="42"/>
      <c r="G804" s="42"/>
      <c r="H804" s="42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  <c r="AA804" s="57"/>
    </row>
    <row r="805">
      <c r="A805" s="42"/>
      <c r="B805" s="42"/>
      <c r="C805" s="42"/>
      <c r="D805" s="42"/>
      <c r="E805" s="42"/>
      <c r="F805" s="42"/>
      <c r="G805" s="42"/>
      <c r="H805" s="42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  <c r="AA805" s="57"/>
    </row>
    <row r="806">
      <c r="A806" s="42"/>
      <c r="B806" s="42"/>
      <c r="C806" s="42"/>
      <c r="D806" s="42"/>
      <c r="E806" s="42"/>
      <c r="F806" s="42"/>
      <c r="G806" s="42"/>
      <c r="H806" s="42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  <c r="AA806" s="57"/>
    </row>
    <row r="807">
      <c r="A807" s="42"/>
      <c r="B807" s="42"/>
      <c r="C807" s="42"/>
      <c r="D807" s="42"/>
      <c r="E807" s="42"/>
      <c r="F807" s="42"/>
      <c r="G807" s="42"/>
      <c r="H807" s="42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  <c r="AA807" s="57"/>
    </row>
    <row r="808">
      <c r="A808" s="42"/>
      <c r="B808" s="42"/>
      <c r="C808" s="42"/>
      <c r="D808" s="42"/>
      <c r="E808" s="42"/>
      <c r="F808" s="42"/>
      <c r="G808" s="42"/>
      <c r="H808" s="42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  <c r="AA808" s="57"/>
    </row>
    <row r="809">
      <c r="A809" s="42"/>
      <c r="B809" s="42"/>
      <c r="C809" s="42"/>
      <c r="D809" s="42"/>
      <c r="E809" s="42"/>
      <c r="F809" s="42"/>
      <c r="G809" s="42"/>
      <c r="H809" s="42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  <c r="AA809" s="57"/>
    </row>
    <row r="810">
      <c r="A810" s="42"/>
      <c r="B810" s="42"/>
      <c r="C810" s="42"/>
      <c r="D810" s="42"/>
      <c r="E810" s="42"/>
      <c r="F810" s="42"/>
      <c r="G810" s="42"/>
      <c r="H810" s="42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  <c r="AA810" s="57"/>
    </row>
    <row r="811">
      <c r="A811" s="42"/>
      <c r="B811" s="42"/>
      <c r="C811" s="42"/>
      <c r="D811" s="42"/>
      <c r="E811" s="42"/>
      <c r="F811" s="42"/>
      <c r="G811" s="42"/>
      <c r="H811" s="42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  <c r="AA811" s="57"/>
    </row>
    <row r="812">
      <c r="A812" s="42"/>
      <c r="B812" s="42"/>
      <c r="C812" s="42"/>
      <c r="D812" s="42"/>
      <c r="E812" s="42"/>
      <c r="F812" s="42"/>
      <c r="G812" s="42"/>
      <c r="H812" s="42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  <c r="AA812" s="57"/>
    </row>
    <row r="813">
      <c r="A813" s="42"/>
      <c r="B813" s="42"/>
      <c r="C813" s="42"/>
      <c r="D813" s="42"/>
      <c r="E813" s="42"/>
      <c r="F813" s="42"/>
      <c r="G813" s="42"/>
      <c r="H813" s="42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  <c r="AA813" s="57"/>
    </row>
    <row r="814">
      <c r="A814" s="42"/>
      <c r="B814" s="42"/>
      <c r="C814" s="42"/>
      <c r="D814" s="42"/>
      <c r="E814" s="42"/>
      <c r="F814" s="42"/>
      <c r="G814" s="42"/>
      <c r="H814" s="42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  <c r="AA814" s="57"/>
    </row>
    <row r="815">
      <c r="A815" s="42"/>
      <c r="B815" s="42"/>
      <c r="C815" s="42"/>
      <c r="D815" s="42"/>
      <c r="E815" s="42"/>
      <c r="F815" s="42"/>
      <c r="G815" s="42"/>
      <c r="H815" s="42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  <c r="AA815" s="57"/>
    </row>
    <row r="816">
      <c r="A816" s="42"/>
      <c r="B816" s="42"/>
      <c r="C816" s="42"/>
      <c r="D816" s="42"/>
      <c r="E816" s="42"/>
      <c r="F816" s="42"/>
      <c r="G816" s="42"/>
      <c r="H816" s="42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  <c r="AA816" s="57"/>
    </row>
    <row r="817">
      <c r="A817" s="42"/>
      <c r="B817" s="42"/>
      <c r="C817" s="42"/>
      <c r="D817" s="42"/>
      <c r="E817" s="42"/>
      <c r="F817" s="42"/>
      <c r="G817" s="42"/>
      <c r="H817" s="42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  <c r="AA817" s="57"/>
    </row>
    <row r="818">
      <c r="A818" s="42"/>
      <c r="B818" s="42"/>
      <c r="C818" s="42"/>
      <c r="D818" s="42"/>
      <c r="E818" s="42"/>
      <c r="F818" s="42"/>
      <c r="G818" s="42"/>
      <c r="H818" s="42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  <c r="AA818" s="57"/>
    </row>
    <row r="819">
      <c r="A819" s="42"/>
      <c r="B819" s="42"/>
      <c r="C819" s="42"/>
      <c r="D819" s="42"/>
      <c r="E819" s="42"/>
      <c r="F819" s="42"/>
      <c r="G819" s="42"/>
      <c r="H819" s="42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  <c r="AA819" s="57"/>
    </row>
    <row r="820">
      <c r="A820" s="42"/>
      <c r="B820" s="42"/>
      <c r="C820" s="42"/>
      <c r="D820" s="42"/>
      <c r="E820" s="42"/>
      <c r="F820" s="42"/>
      <c r="G820" s="42"/>
      <c r="H820" s="42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  <c r="AA820" s="57"/>
    </row>
    <row r="821">
      <c r="A821" s="42"/>
      <c r="B821" s="42"/>
      <c r="C821" s="42"/>
      <c r="D821" s="42"/>
      <c r="E821" s="42"/>
      <c r="F821" s="42"/>
      <c r="G821" s="42"/>
      <c r="H821" s="42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  <c r="AA821" s="57"/>
    </row>
    <row r="822">
      <c r="A822" s="42"/>
      <c r="B822" s="42"/>
      <c r="C822" s="42"/>
      <c r="D822" s="42"/>
      <c r="E822" s="42"/>
      <c r="F822" s="42"/>
      <c r="G822" s="42"/>
      <c r="H822" s="42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  <c r="AA822" s="57"/>
    </row>
    <row r="823">
      <c r="A823" s="42"/>
      <c r="B823" s="42"/>
      <c r="C823" s="42"/>
      <c r="D823" s="42"/>
      <c r="E823" s="42"/>
      <c r="F823" s="42"/>
      <c r="G823" s="42"/>
      <c r="H823" s="42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  <c r="AA823" s="57"/>
    </row>
    <row r="824">
      <c r="A824" s="42"/>
      <c r="B824" s="42"/>
      <c r="C824" s="42"/>
      <c r="D824" s="42"/>
      <c r="E824" s="42"/>
      <c r="F824" s="42"/>
      <c r="G824" s="42"/>
      <c r="H824" s="42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  <c r="AA824" s="57"/>
    </row>
    <row r="825">
      <c r="A825" s="42"/>
      <c r="B825" s="42"/>
      <c r="C825" s="42"/>
      <c r="D825" s="42"/>
      <c r="E825" s="42"/>
      <c r="F825" s="42"/>
      <c r="G825" s="42"/>
      <c r="H825" s="42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  <c r="AA825" s="57"/>
    </row>
    <row r="826">
      <c r="A826" s="42"/>
      <c r="B826" s="42"/>
      <c r="C826" s="42"/>
      <c r="D826" s="42"/>
      <c r="E826" s="42"/>
      <c r="F826" s="42"/>
      <c r="G826" s="42"/>
      <c r="H826" s="42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  <c r="AA826" s="57"/>
    </row>
    <row r="827">
      <c r="A827" s="42"/>
      <c r="B827" s="42"/>
      <c r="C827" s="42"/>
      <c r="D827" s="42"/>
      <c r="E827" s="42"/>
      <c r="F827" s="42"/>
      <c r="G827" s="42"/>
      <c r="H827" s="42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  <c r="AA827" s="57"/>
    </row>
    <row r="828">
      <c r="A828" s="42"/>
      <c r="B828" s="42"/>
      <c r="C828" s="42"/>
      <c r="D828" s="42"/>
      <c r="E828" s="42"/>
      <c r="F828" s="42"/>
      <c r="G828" s="42"/>
      <c r="H828" s="42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  <c r="AA828" s="57"/>
    </row>
    <row r="829">
      <c r="A829" s="42"/>
      <c r="B829" s="42"/>
      <c r="C829" s="42"/>
      <c r="D829" s="42"/>
      <c r="E829" s="42"/>
      <c r="F829" s="42"/>
      <c r="G829" s="42"/>
      <c r="H829" s="42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  <c r="AA829" s="57"/>
    </row>
    <row r="830">
      <c r="A830" s="42"/>
      <c r="B830" s="42"/>
      <c r="C830" s="42"/>
      <c r="D830" s="42"/>
      <c r="E830" s="42"/>
      <c r="F830" s="42"/>
      <c r="G830" s="42"/>
      <c r="H830" s="42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  <c r="AA830" s="57"/>
    </row>
    <row r="831">
      <c r="A831" s="42"/>
      <c r="B831" s="42"/>
      <c r="C831" s="42"/>
      <c r="D831" s="42"/>
      <c r="E831" s="42"/>
      <c r="F831" s="42"/>
      <c r="G831" s="42"/>
      <c r="H831" s="42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  <c r="AA831" s="57"/>
    </row>
    <row r="832">
      <c r="A832" s="42"/>
      <c r="B832" s="42"/>
      <c r="C832" s="42"/>
      <c r="D832" s="42"/>
      <c r="E832" s="42"/>
      <c r="F832" s="42"/>
      <c r="G832" s="42"/>
      <c r="H832" s="42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  <c r="AA832" s="57"/>
    </row>
    <row r="833">
      <c r="A833" s="42"/>
      <c r="B833" s="42"/>
      <c r="C833" s="42"/>
      <c r="D833" s="42"/>
      <c r="E833" s="42"/>
      <c r="F833" s="42"/>
      <c r="G833" s="42"/>
      <c r="H833" s="42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  <c r="AA833" s="57"/>
    </row>
    <row r="834">
      <c r="A834" s="42"/>
      <c r="B834" s="42"/>
      <c r="C834" s="42"/>
      <c r="D834" s="42"/>
      <c r="E834" s="42"/>
      <c r="F834" s="42"/>
      <c r="G834" s="42"/>
      <c r="H834" s="42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  <c r="AA834" s="57"/>
    </row>
    <row r="835">
      <c r="A835" s="42"/>
      <c r="B835" s="42"/>
      <c r="C835" s="42"/>
      <c r="D835" s="42"/>
      <c r="E835" s="42"/>
      <c r="F835" s="42"/>
      <c r="G835" s="42"/>
      <c r="H835" s="42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  <c r="AA835" s="57"/>
    </row>
    <row r="836">
      <c r="A836" s="42"/>
      <c r="B836" s="42"/>
      <c r="C836" s="42"/>
      <c r="D836" s="42"/>
      <c r="E836" s="42"/>
      <c r="F836" s="42"/>
      <c r="G836" s="42"/>
      <c r="H836" s="42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  <c r="AA836" s="57"/>
    </row>
    <row r="837">
      <c r="A837" s="42"/>
      <c r="B837" s="42"/>
      <c r="C837" s="42"/>
      <c r="D837" s="42"/>
      <c r="E837" s="42"/>
      <c r="F837" s="42"/>
      <c r="G837" s="42"/>
      <c r="H837" s="42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  <c r="AA837" s="57"/>
    </row>
    <row r="838">
      <c r="A838" s="42"/>
      <c r="B838" s="42"/>
      <c r="C838" s="42"/>
      <c r="D838" s="42"/>
      <c r="E838" s="42"/>
      <c r="F838" s="42"/>
      <c r="G838" s="42"/>
      <c r="H838" s="42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  <c r="AA838" s="57"/>
    </row>
    <row r="839">
      <c r="A839" s="42"/>
      <c r="B839" s="42"/>
      <c r="C839" s="42"/>
      <c r="D839" s="42"/>
      <c r="E839" s="42"/>
      <c r="F839" s="42"/>
      <c r="G839" s="42"/>
      <c r="H839" s="42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  <c r="AA839" s="57"/>
    </row>
    <row r="840">
      <c r="A840" s="42"/>
      <c r="B840" s="42"/>
      <c r="C840" s="42"/>
      <c r="D840" s="42"/>
      <c r="E840" s="42"/>
      <c r="F840" s="42"/>
      <c r="G840" s="42"/>
      <c r="H840" s="42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  <c r="AA840" s="57"/>
    </row>
    <row r="841">
      <c r="A841" s="42"/>
      <c r="B841" s="42"/>
      <c r="C841" s="42"/>
      <c r="D841" s="42"/>
      <c r="E841" s="42"/>
      <c r="F841" s="42"/>
      <c r="G841" s="42"/>
      <c r="H841" s="42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  <c r="AA841" s="57"/>
    </row>
    <row r="842">
      <c r="A842" s="42"/>
      <c r="B842" s="42"/>
      <c r="C842" s="42"/>
      <c r="D842" s="42"/>
      <c r="E842" s="42"/>
      <c r="F842" s="42"/>
      <c r="G842" s="42"/>
      <c r="H842" s="42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  <c r="AA842" s="57"/>
    </row>
    <row r="843">
      <c r="A843" s="42"/>
      <c r="B843" s="42"/>
      <c r="C843" s="42"/>
      <c r="D843" s="42"/>
      <c r="E843" s="42"/>
      <c r="F843" s="42"/>
      <c r="G843" s="42"/>
      <c r="H843" s="42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  <c r="AA843" s="57"/>
    </row>
    <row r="844">
      <c r="A844" s="42"/>
      <c r="B844" s="42"/>
      <c r="C844" s="42"/>
      <c r="D844" s="42"/>
      <c r="E844" s="42"/>
      <c r="F844" s="42"/>
      <c r="G844" s="42"/>
      <c r="H844" s="42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  <c r="AA844" s="57"/>
    </row>
    <row r="845">
      <c r="A845" s="42"/>
      <c r="B845" s="42"/>
      <c r="C845" s="42"/>
      <c r="D845" s="42"/>
      <c r="E845" s="42"/>
      <c r="F845" s="42"/>
      <c r="G845" s="42"/>
      <c r="H845" s="42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  <c r="AA845" s="57"/>
    </row>
    <row r="846">
      <c r="A846" s="42"/>
      <c r="B846" s="42"/>
      <c r="C846" s="42"/>
      <c r="D846" s="42"/>
      <c r="E846" s="42"/>
      <c r="F846" s="42"/>
      <c r="G846" s="42"/>
      <c r="H846" s="42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  <c r="AA846" s="57"/>
    </row>
    <row r="847">
      <c r="A847" s="42"/>
      <c r="B847" s="42"/>
      <c r="C847" s="42"/>
      <c r="D847" s="42"/>
      <c r="E847" s="42"/>
      <c r="F847" s="42"/>
      <c r="G847" s="42"/>
      <c r="H847" s="42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  <c r="AA847" s="57"/>
    </row>
    <row r="848">
      <c r="A848" s="42"/>
      <c r="B848" s="42"/>
      <c r="C848" s="42"/>
      <c r="D848" s="42"/>
      <c r="E848" s="42"/>
      <c r="F848" s="42"/>
      <c r="G848" s="42"/>
      <c r="H848" s="42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  <c r="AA848" s="57"/>
    </row>
    <row r="849">
      <c r="A849" s="42"/>
      <c r="B849" s="42"/>
      <c r="C849" s="42"/>
      <c r="D849" s="42"/>
      <c r="E849" s="42"/>
      <c r="F849" s="42"/>
      <c r="G849" s="42"/>
      <c r="H849" s="42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  <c r="AA849" s="57"/>
    </row>
    <row r="850">
      <c r="A850" s="42"/>
      <c r="B850" s="42"/>
      <c r="C850" s="42"/>
      <c r="D850" s="42"/>
      <c r="E850" s="42"/>
      <c r="F850" s="42"/>
      <c r="G850" s="42"/>
      <c r="H850" s="42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  <c r="AA850" s="57"/>
    </row>
    <row r="851">
      <c r="A851" s="42"/>
      <c r="B851" s="42"/>
      <c r="C851" s="42"/>
      <c r="D851" s="42"/>
      <c r="E851" s="42"/>
      <c r="F851" s="42"/>
      <c r="G851" s="42"/>
      <c r="H851" s="42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  <c r="AA851" s="57"/>
    </row>
    <row r="852">
      <c r="A852" s="42"/>
      <c r="B852" s="42"/>
      <c r="C852" s="42"/>
      <c r="D852" s="42"/>
      <c r="E852" s="42"/>
      <c r="F852" s="42"/>
      <c r="G852" s="42"/>
      <c r="H852" s="42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  <c r="AA852" s="57"/>
    </row>
    <row r="853">
      <c r="A853" s="42"/>
      <c r="B853" s="42"/>
      <c r="C853" s="42"/>
      <c r="D853" s="42"/>
      <c r="E853" s="42"/>
      <c r="F853" s="42"/>
      <c r="G853" s="42"/>
      <c r="H853" s="42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  <c r="AA853" s="57"/>
    </row>
    <row r="854">
      <c r="A854" s="42"/>
      <c r="B854" s="42"/>
      <c r="C854" s="42"/>
      <c r="D854" s="42"/>
      <c r="E854" s="42"/>
      <c r="F854" s="42"/>
      <c r="G854" s="42"/>
      <c r="H854" s="42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  <c r="AA854" s="57"/>
    </row>
    <row r="855">
      <c r="A855" s="42"/>
      <c r="B855" s="42"/>
      <c r="C855" s="42"/>
      <c r="D855" s="42"/>
      <c r="E855" s="42"/>
      <c r="F855" s="42"/>
      <c r="G855" s="42"/>
      <c r="H855" s="42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  <c r="AA855" s="57"/>
    </row>
    <row r="856">
      <c r="A856" s="42"/>
      <c r="B856" s="42"/>
      <c r="C856" s="42"/>
      <c r="D856" s="42"/>
      <c r="E856" s="42"/>
      <c r="F856" s="42"/>
      <c r="G856" s="42"/>
      <c r="H856" s="42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  <c r="AA856" s="57"/>
    </row>
    <row r="857">
      <c r="A857" s="42"/>
      <c r="B857" s="42"/>
      <c r="C857" s="42"/>
      <c r="D857" s="42"/>
      <c r="E857" s="42"/>
      <c r="F857" s="42"/>
      <c r="G857" s="42"/>
      <c r="H857" s="42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  <c r="AA857" s="57"/>
    </row>
    <row r="858">
      <c r="A858" s="42"/>
      <c r="B858" s="42"/>
      <c r="C858" s="42"/>
      <c r="D858" s="42"/>
      <c r="E858" s="42"/>
      <c r="F858" s="42"/>
      <c r="G858" s="42"/>
      <c r="H858" s="42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  <c r="AA858" s="57"/>
    </row>
    <row r="859">
      <c r="A859" s="42"/>
      <c r="B859" s="42"/>
      <c r="C859" s="42"/>
      <c r="D859" s="42"/>
      <c r="E859" s="42"/>
      <c r="F859" s="42"/>
      <c r="G859" s="42"/>
      <c r="H859" s="42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  <c r="AA859" s="57"/>
    </row>
    <row r="860">
      <c r="A860" s="42"/>
      <c r="B860" s="42"/>
      <c r="C860" s="42"/>
      <c r="D860" s="42"/>
      <c r="E860" s="42"/>
      <c r="F860" s="42"/>
      <c r="G860" s="42"/>
      <c r="H860" s="42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  <c r="AA860" s="57"/>
    </row>
    <row r="861">
      <c r="A861" s="42"/>
      <c r="B861" s="42"/>
      <c r="C861" s="42"/>
      <c r="D861" s="42"/>
      <c r="E861" s="42"/>
      <c r="F861" s="42"/>
      <c r="G861" s="42"/>
      <c r="H861" s="42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  <c r="AA861" s="57"/>
    </row>
    <row r="862">
      <c r="A862" s="42"/>
      <c r="B862" s="42"/>
      <c r="C862" s="42"/>
      <c r="D862" s="42"/>
      <c r="E862" s="42"/>
      <c r="F862" s="42"/>
      <c r="G862" s="42"/>
      <c r="H862" s="42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  <c r="AA862" s="57"/>
    </row>
    <row r="863">
      <c r="A863" s="42"/>
      <c r="B863" s="42"/>
      <c r="C863" s="42"/>
      <c r="D863" s="42"/>
      <c r="E863" s="42"/>
      <c r="F863" s="42"/>
      <c r="G863" s="42"/>
      <c r="H863" s="42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  <c r="AA863" s="57"/>
    </row>
    <row r="864">
      <c r="A864" s="42"/>
      <c r="B864" s="42"/>
      <c r="C864" s="42"/>
      <c r="D864" s="42"/>
      <c r="E864" s="42"/>
      <c r="F864" s="42"/>
      <c r="G864" s="42"/>
      <c r="H864" s="42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  <c r="AA864" s="57"/>
    </row>
    <row r="865">
      <c r="A865" s="42"/>
      <c r="B865" s="42"/>
      <c r="C865" s="42"/>
      <c r="D865" s="42"/>
      <c r="E865" s="42"/>
      <c r="F865" s="42"/>
      <c r="G865" s="42"/>
      <c r="H865" s="42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  <c r="AA865" s="57"/>
    </row>
    <row r="866">
      <c r="A866" s="42"/>
      <c r="B866" s="42"/>
      <c r="C866" s="42"/>
      <c r="D866" s="42"/>
      <c r="E866" s="42"/>
      <c r="F866" s="42"/>
      <c r="G866" s="42"/>
      <c r="H866" s="42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  <c r="AA866" s="57"/>
    </row>
    <row r="867">
      <c r="A867" s="42"/>
      <c r="B867" s="42"/>
      <c r="C867" s="42"/>
      <c r="D867" s="42"/>
      <c r="E867" s="42"/>
      <c r="F867" s="42"/>
      <c r="G867" s="42"/>
      <c r="H867" s="42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  <c r="AA867" s="57"/>
    </row>
    <row r="868">
      <c r="A868" s="42"/>
      <c r="B868" s="42"/>
      <c r="C868" s="42"/>
      <c r="D868" s="42"/>
      <c r="E868" s="42"/>
      <c r="F868" s="42"/>
      <c r="G868" s="42"/>
      <c r="H868" s="42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  <c r="AA868" s="57"/>
    </row>
    <row r="869">
      <c r="A869" s="42"/>
      <c r="B869" s="42"/>
      <c r="C869" s="42"/>
      <c r="D869" s="42"/>
      <c r="E869" s="42"/>
      <c r="F869" s="42"/>
      <c r="G869" s="42"/>
      <c r="H869" s="42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  <c r="AA869" s="57"/>
    </row>
    <row r="870">
      <c r="A870" s="42"/>
      <c r="B870" s="42"/>
      <c r="C870" s="42"/>
      <c r="D870" s="42"/>
      <c r="E870" s="42"/>
      <c r="F870" s="42"/>
      <c r="G870" s="42"/>
      <c r="H870" s="42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  <c r="AA870" s="57"/>
    </row>
    <row r="871">
      <c r="A871" s="42"/>
      <c r="B871" s="42"/>
      <c r="C871" s="42"/>
      <c r="D871" s="42"/>
      <c r="E871" s="42"/>
      <c r="F871" s="42"/>
      <c r="G871" s="42"/>
      <c r="H871" s="42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  <c r="AA871" s="57"/>
    </row>
    <row r="872">
      <c r="A872" s="42"/>
      <c r="B872" s="42"/>
      <c r="C872" s="42"/>
      <c r="D872" s="42"/>
      <c r="E872" s="42"/>
      <c r="F872" s="42"/>
      <c r="G872" s="42"/>
      <c r="H872" s="42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  <c r="AA872" s="57"/>
    </row>
    <row r="873">
      <c r="A873" s="42"/>
      <c r="B873" s="42"/>
      <c r="C873" s="42"/>
      <c r="D873" s="42"/>
      <c r="E873" s="42"/>
      <c r="F873" s="42"/>
      <c r="G873" s="42"/>
      <c r="H873" s="42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  <c r="AA873" s="57"/>
    </row>
    <row r="874">
      <c r="A874" s="42"/>
      <c r="B874" s="42"/>
      <c r="C874" s="42"/>
      <c r="D874" s="42"/>
      <c r="E874" s="42"/>
      <c r="F874" s="42"/>
      <c r="G874" s="42"/>
      <c r="H874" s="42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  <c r="AA874" s="57"/>
    </row>
    <row r="875">
      <c r="A875" s="42"/>
      <c r="B875" s="42"/>
      <c r="C875" s="42"/>
      <c r="D875" s="42"/>
      <c r="E875" s="42"/>
      <c r="F875" s="42"/>
      <c r="G875" s="42"/>
      <c r="H875" s="42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  <c r="AA875" s="57"/>
    </row>
    <row r="876">
      <c r="A876" s="42"/>
      <c r="B876" s="42"/>
      <c r="C876" s="42"/>
      <c r="D876" s="42"/>
      <c r="E876" s="42"/>
      <c r="F876" s="42"/>
      <c r="G876" s="42"/>
      <c r="H876" s="42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  <c r="AA876" s="57"/>
    </row>
    <row r="877">
      <c r="A877" s="42"/>
      <c r="B877" s="42"/>
      <c r="C877" s="42"/>
      <c r="D877" s="42"/>
      <c r="E877" s="42"/>
      <c r="F877" s="42"/>
      <c r="G877" s="42"/>
      <c r="H877" s="42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  <c r="AA877" s="57"/>
    </row>
    <row r="878">
      <c r="A878" s="42"/>
      <c r="B878" s="42"/>
      <c r="C878" s="42"/>
      <c r="D878" s="42"/>
      <c r="E878" s="42"/>
      <c r="F878" s="42"/>
      <c r="G878" s="42"/>
      <c r="H878" s="42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  <c r="AA878" s="57"/>
    </row>
    <row r="879">
      <c r="A879" s="42"/>
      <c r="B879" s="42"/>
      <c r="C879" s="42"/>
      <c r="D879" s="42"/>
      <c r="E879" s="42"/>
      <c r="F879" s="42"/>
      <c r="G879" s="42"/>
      <c r="H879" s="42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  <c r="AA879" s="57"/>
    </row>
    <row r="880">
      <c r="A880" s="42"/>
      <c r="B880" s="42"/>
      <c r="C880" s="42"/>
      <c r="D880" s="42"/>
      <c r="E880" s="42"/>
      <c r="F880" s="42"/>
      <c r="G880" s="42"/>
      <c r="H880" s="42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  <c r="AA880" s="57"/>
    </row>
    <row r="881">
      <c r="A881" s="42"/>
      <c r="B881" s="42"/>
      <c r="C881" s="42"/>
      <c r="D881" s="42"/>
      <c r="E881" s="42"/>
      <c r="F881" s="42"/>
      <c r="G881" s="42"/>
      <c r="H881" s="42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  <c r="AA881" s="57"/>
    </row>
    <row r="882">
      <c r="A882" s="42"/>
      <c r="B882" s="42"/>
      <c r="C882" s="42"/>
      <c r="D882" s="42"/>
      <c r="E882" s="42"/>
      <c r="F882" s="42"/>
      <c r="G882" s="42"/>
      <c r="H882" s="42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  <c r="AA882" s="57"/>
    </row>
    <row r="883">
      <c r="A883" s="42"/>
      <c r="B883" s="42"/>
      <c r="C883" s="42"/>
      <c r="D883" s="42"/>
      <c r="E883" s="42"/>
      <c r="F883" s="42"/>
      <c r="G883" s="42"/>
      <c r="H883" s="42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  <c r="AA883" s="57"/>
    </row>
    <row r="884">
      <c r="A884" s="42"/>
      <c r="B884" s="42"/>
      <c r="C884" s="42"/>
      <c r="D884" s="42"/>
      <c r="E884" s="42"/>
      <c r="F884" s="42"/>
      <c r="G884" s="42"/>
      <c r="H884" s="42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  <c r="AA884" s="57"/>
    </row>
    <row r="885">
      <c r="A885" s="42"/>
      <c r="B885" s="42"/>
      <c r="C885" s="42"/>
      <c r="D885" s="42"/>
      <c r="E885" s="42"/>
      <c r="F885" s="42"/>
      <c r="G885" s="42"/>
      <c r="H885" s="42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  <c r="AA885" s="57"/>
    </row>
    <row r="886">
      <c r="A886" s="42"/>
      <c r="B886" s="42"/>
      <c r="C886" s="42"/>
      <c r="D886" s="42"/>
      <c r="E886" s="42"/>
      <c r="F886" s="42"/>
      <c r="G886" s="42"/>
      <c r="H886" s="42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  <c r="AA886" s="57"/>
    </row>
    <row r="887">
      <c r="A887" s="42"/>
      <c r="B887" s="42"/>
      <c r="C887" s="42"/>
      <c r="D887" s="42"/>
      <c r="E887" s="42"/>
      <c r="F887" s="42"/>
      <c r="G887" s="42"/>
      <c r="H887" s="42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  <c r="AA887" s="57"/>
    </row>
    <row r="888">
      <c r="A888" s="42"/>
      <c r="B888" s="42"/>
      <c r="C888" s="42"/>
      <c r="D888" s="42"/>
      <c r="E888" s="42"/>
      <c r="F888" s="42"/>
      <c r="G888" s="42"/>
      <c r="H888" s="42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  <c r="AA888" s="57"/>
    </row>
    <row r="889">
      <c r="A889" s="42"/>
      <c r="B889" s="42"/>
      <c r="C889" s="42"/>
      <c r="D889" s="42"/>
      <c r="E889" s="42"/>
      <c r="F889" s="42"/>
      <c r="G889" s="42"/>
      <c r="H889" s="42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  <c r="AA889" s="57"/>
    </row>
    <row r="890">
      <c r="A890" s="42"/>
      <c r="B890" s="42"/>
      <c r="C890" s="42"/>
      <c r="D890" s="42"/>
      <c r="E890" s="42"/>
      <c r="F890" s="42"/>
      <c r="G890" s="42"/>
      <c r="H890" s="42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  <c r="AA890" s="57"/>
    </row>
    <row r="891">
      <c r="A891" s="42"/>
      <c r="B891" s="42"/>
      <c r="C891" s="42"/>
      <c r="D891" s="42"/>
      <c r="E891" s="42"/>
      <c r="F891" s="42"/>
      <c r="G891" s="42"/>
      <c r="H891" s="42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  <c r="AA891" s="57"/>
    </row>
    <row r="892">
      <c r="A892" s="42"/>
      <c r="B892" s="42"/>
      <c r="C892" s="42"/>
      <c r="D892" s="42"/>
      <c r="E892" s="42"/>
      <c r="F892" s="42"/>
      <c r="G892" s="42"/>
      <c r="H892" s="42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  <c r="AA892" s="57"/>
    </row>
    <row r="893">
      <c r="A893" s="42"/>
      <c r="B893" s="42"/>
      <c r="C893" s="42"/>
      <c r="D893" s="42"/>
      <c r="E893" s="42"/>
      <c r="F893" s="42"/>
      <c r="G893" s="42"/>
      <c r="H893" s="42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  <c r="AA893" s="57"/>
    </row>
    <row r="894">
      <c r="A894" s="42"/>
      <c r="B894" s="42"/>
      <c r="C894" s="42"/>
      <c r="D894" s="42"/>
      <c r="E894" s="42"/>
      <c r="F894" s="42"/>
      <c r="G894" s="42"/>
      <c r="H894" s="42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  <c r="AA894" s="57"/>
    </row>
    <row r="895">
      <c r="A895" s="42"/>
      <c r="B895" s="42"/>
      <c r="C895" s="42"/>
      <c r="D895" s="42"/>
      <c r="E895" s="42"/>
      <c r="F895" s="42"/>
      <c r="G895" s="42"/>
      <c r="H895" s="42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  <c r="AA895" s="57"/>
    </row>
    <row r="896">
      <c r="A896" s="42"/>
      <c r="B896" s="42"/>
      <c r="C896" s="42"/>
      <c r="D896" s="42"/>
      <c r="E896" s="42"/>
      <c r="F896" s="42"/>
      <c r="G896" s="42"/>
      <c r="H896" s="42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  <c r="AA896" s="57"/>
    </row>
    <row r="897">
      <c r="A897" s="42"/>
      <c r="B897" s="42"/>
      <c r="C897" s="42"/>
      <c r="D897" s="42"/>
      <c r="E897" s="42"/>
      <c r="F897" s="42"/>
      <c r="G897" s="42"/>
      <c r="H897" s="42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  <c r="AA897" s="57"/>
    </row>
    <row r="898">
      <c r="A898" s="42"/>
      <c r="B898" s="42"/>
      <c r="C898" s="42"/>
      <c r="D898" s="42"/>
      <c r="E898" s="42"/>
      <c r="F898" s="42"/>
      <c r="G898" s="42"/>
      <c r="H898" s="42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  <c r="AA898" s="57"/>
    </row>
    <row r="899">
      <c r="A899" s="42"/>
      <c r="B899" s="42"/>
      <c r="C899" s="42"/>
      <c r="D899" s="42"/>
      <c r="E899" s="42"/>
      <c r="F899" s="42"/>
      <c r="G899" s="42"/>
      <c r="H899" s="42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  <c r="AA899" s="57"/>
    </row>
    <row r="900">
      <c r="A900" s="42"/>
      <c r="B900" s="42"/>
      <c r="C900" s="42"/>
      <c r="D900" s="42"/>
      <c r="E900" s="42"/>
      <c r="F900" s="42"/>
      <c r="G900" s="42"/>
      <c r="H900" s="42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  <c r="AA900" s="57"/>
    </row>
    <row r="901">
      <c r="A901" s="42"/>
      <c r="B901" s="42"/>
      <c r="C901" s="42"/>
      <c r="D901" s="42"/>
      <c r="E901" s="42"/>
      <c r="F901" s="42"/>
      <c r="G901" s="42"/>
      <c r="H901" s="42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  <c r="AA901" s="57"/>
    </row>
    <row r="902">
      <c r="A902" s="42"/>
      <c r="B902" s="42"/>
      <c r="C902" s="42"/>
      <c r="D902" s="42"/>
      <c r="E902" s="42"/>
      <c r="F902" s="42"/>
      <c r="G902" s="42"/>
      <c r="H902" s="42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  <c r="AA902" s="57"/>
    </row>
    <row r="903">
      <c r="A903" s="42"/>
      <c r="B903" s="42"/>
      <c r="C903" s="42"/>
      <c r="D903" s="42"/>
      <c r="E903" s="42"/>
      <c r="F903" s="42"/>
      <c r="G903" s="42"/>
      <c r="H903" s="42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  <c r="AA903" s="57"/>
    </row>
    <row r="904">
      <c r="A904" s="42"/>
      <c r="B904" s="42"/>
      <c r="C904" s="42"/>
      <c r="D904" s="42"/>
      <c r="E904" s="42"/>
      <c r="F904" s="42"/>
      <c r="G904" s="42"/>
      <c r="H904" s="42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  <c r="AA904" s="57"/>
    </row>
    <row r="905">
      <c r="A905" s="42"/>
      <c r="B905" s="42"/>
      <c r="C905" s="42"/>
      <c r="D905" s="42"/>
      <c r="E905" s="42"/>
      <c r="F905" s="42"/>
      <c r="G905" s="42"/>
      <c r="H905" s="42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  <c r="AA905" s="57"/>
    </row>
    <row r="906">
      <c r="A906" s="42"/>
      <c r="B906" s="42"/>
      <c r="C906" s="42"/>
      <c r="D906" s="42"/>
      <c r="E906" s="42"/>
      <c r="F906" s="42"/>
      <c r="G906" s="42"/>
      <c r="H906" s="42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  <c r="AA906" s="57"/>
    </row>
    <row r="907">
      <c r="A907" s="42"/>
      <c r="B907" s="42"/>
      <c r="C907" s="42"/>
      <c r="D907" s="42"/>
      <c r="E907" s="42"/>
      <c r="F907" s="42"/>
      <c r="G907" s="42"/>
      <c r="H907" s="42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  <c r="AA907" s="57"/>
    </row>
    <row r="908">
      <c r="A908" s="42"/>
      <c r="B908" s="42"/>
      <c r="C908" s="42"/>
      <c r="D908" s="42"/>
      <c r="E908" s="42"/>
      <c r="F908" s="42"/>
      <c r="G908" s="42"/>
      <c r="H908" s="42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  <c r="AA908" s="57"/>
    </row>
    <row r="909">
      <c r="A909" s="42"/>
      <c r="B909" s="42"/>
      <c r="C909" s="42"/>
      <c r="D909" s="42"/>
      <c r="E909" s="42"/>
      <c r="F909" s="42"/>
      <c r="G909" s="42"/>
      <c r="H909" s="42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  <c r="AA909" s="57"/>
    </row>
    <row r="910">
      <c r="A910" s="42"/>
      <c r="B910" s="42"/>
      <c r="C910" s="42"/>
      <c r="D910" s="42"/>
      <c r="E910" s="42"/>
      <c r="F910" s="42"/>
      <c r="G910" s="42"/>
      <c r="H910" s="42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  <c r="AA910" s="57"/>
    </row>
    <row r="911">
      <c r="A911" s="42"/>
      <c r="B911" s="42"/>
      <c r="C911" s="42"/>
      <c r="D911" s="42"/>
      <c r="E911" s="42"/>
      <c r="F911" s="42"/>
      <c r="G911" s="42"/>
      <c r="H911" s="42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  <c r="AA911" s="57"/>
    </row>
    <row r="912">
      <c r="A912" s="42"/>
      <c r="B912" s="42"/>
      <c r="C912" s="42"/>
      <c r="D912" s="42"/>
      <c r="E912" s="42"/>
      <c r="F912" s="42"/>
      <c r="G912" s="42"/>
      <c r="H912" s="42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  <c r="AA912" s="57"/>
    </row>
    <row r="913">
      <c r="A913" s="42"/>
      <c r="B913" s="42"/>
      <c r="C913" s="42"/>
      <c r="D913" s="42"/>
      <c r="E913" s="42"/>
      <c r="F913" s="42"/>
      <c r="G913" s="42"/>
      <c r="H913" s="42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  <c r="AA913" s="57"/>
    </row>
    <row r="914">
      <c r="A914" s="42"/>
      <c r="B914" s="42"/>
      <c r="C914" s="42"/>
      <c r="D914" s="42"/>
      <c r="E914" s="42"/>
      <c r="F914" s="42"/>
      <c r="G914" s="42"/>
      <c r="H914" s="42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  <c r="AA914" s="57"/>
    </row>
    <row r="915">
      <c r="A915" s="42"/>
      <c r="B915" s="42"/>
      <c r="C915" s="42"/>
      <c r="D915" s="42"/>
      <c r="E915" s="42"/>
      <c r="F915" s="42"/>
      <c r="G915" s="42"/>
      <c r="H915" s="42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  <c r="AA915" s="57"/>
    </row>
    <row r="916">
      <c r="A916" s="42"/>
      <c r="B916" s="42"/>
      <c r="C916" s="42"/>
      <c r="D916" s="42"/>
      <c r="E916" s="42"/>
      <c r="F916" s="42"/>
      <c r="G916" s="42"/>
      <c r="H916" s="42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  <c r="AA916" s="57"/>
    </row>
    <row r="917">
      <c r="A917" s="42"/>
      <c r="B917" s="42"/>
      <c r="C917" s="42"/>
      <c r="D917" s="42"/>
      <c r="E917" s="42"/>
      <c r="F917" s="42"/>
      <c r="G917" s="42"/>
      <c r="H917" s="42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  <c r="AA917" s="57"/>
    </row>
    <row r="918">
      <c r="A918" s="42"/>
      <c r="B918" s="42"/>
      <c r="C918" s="42"/>
      <c r="D918" s="42"/>
      <c r="E918" s="42"/>
      <c r="F918" s="42"/>
      <c r="G918" s="42"/>
      <c r="H918" s="42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  <c r="AA918" s="57"/>
    </row>
    <row r="919">
      <c r="A919" s="42"/>
      <c r="B919" s="42"/>
      <c r="C919" s="42"/>
      <c r="D919" s="42"/>
      <c r="E919" s="42"/>
      <c r="F919" s="42"/>
      <c r="G919" s="42"/>
      <c r="H919" s="42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  <c r="AA919" s="57"/>
    </row>
    <row r="920">
      <c r="A920" s="42"/>
      <c r="B920" s="42"/>
      <c r="C920" s="42"/>
      <c r="D920" s="42"/>
      <c r="E920" s="42"/>
      <c r="F920" s="42"/>
      <c r="G920" s="42"/>
      <c r="H920" s="42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  <c r="AA920" s="57"/>
    </row>
    <row r="921">
      <c r="A921" s="42"/>
      <c r="B921" s="42"/>
      <c r="C921" s="42"/>
      <c r="D921" s="42"/>
      <c r="E921" s="42"/>
      <c r="F921" s="42"/>
      <c r="G921" s="42"/>
      <c r="H921" s="42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  <c r="AA921" s="57"/>
    </row>
    <row r="922">
      <c r="A922" s="42"/>
      <c r="B922" s="42"/>
      <c r="C922" s="42"/>
      <c r="D922" s="42"/>
      <c r="E922" s="42"/>
      <c r="F922" s="42"/>
      <c r="G922" s="42"/>
      <c r="H922" s="42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  <c r="AA922" s="57"/>
    </row>
    <row r="923">
      <c r="A923" s="42"/>
      <c r="B923" s="42"/>
      <c r="C923" s="42"/>
      <c r="D923" s="42"/>
      <c r="E923" s="42"/>
      <c r="F923" s="42"/>
      <c r="G923" s="42"/>
      <c r="H923" s="42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  <c r="AA923" s="57"/>
    </row>
    <row r="924">
      <c r="A924" s="42"/>
      <c r="B924" s="42"/>
      <c r="C924" s="42"/>
      <c r="D924" s="42"/>
      <c r="E924" s="42"/>
      <c r="F924" s="42"/>
      <c r="G924" s="42"/>
      <c r="H924" s="42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  <c r="AA924" s="57"/>
    </row>
    <row r="925">
      <c r="A925" s="42"/>
      <c r="B925" s="42"/>
      <c r="C925" s="42"/>
      <c r="D925" s="42"/>
      <c r="E925" s="42"/>
      <c r="F925" s="42"/>
      <c r="G925" s="42"/>
      <c r="H925" s="42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  <c r="AA925" s="57"/>
    </row>
    <row r="926">
      <c r="A926" s="42"/>
      <c r="B926" s="42"/>
      <c r="C926" s="42"/>
      <c r="D926" s="42"/>
      <c r="E926" s="42"/>
      <c r="F926" s="42"/>
      <c r="G926" s="42"/>
      <c r="H926" s="42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  <c r="AA926" s="57"/>
    </row>
    <row r="927">
      <c r="A927" s="42"/>
      <c r="B927" s="42"/>
      <c r="C927" s="42"/>
      <c r="D927" s="42"/>
      <c r="E927" s="42"/>
      <c r="F927" s="42"/>
      <c r="G927" s="42"/>
      <c r="H927" s="42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  <c r="AA927" s="57"/>
    </row>
    <row r="928">
      <c r="A928" s="42"/>
      <c r="B928" s="42"/>
      <c r="C928" s="42"/>
      <c r="D928" s="42"/>
      <c r="E928" s="42"/>
      <c r="F928" s="42"/>
      <c r="G928" s="42"/>
      <c r="H928" s="42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  <c r="AA928" s="57"/>
    </row>
    <row r="929">
      <c r="A929" s="42"/>
      <c r="B929" s="42"/>
      <c r="C929" s="42"/>
      <c r="D929" s="42"/>
      <c r="E929" s="42"/>
      <c r="F929" s="42"/>
      <c r="G929" s="42"/>
      <c r="H929" s="42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  <c r="AA929" s="57"/>
    </row>
    <row r="930">
      <c r="A930" s="42"/>
      <c r="B930" s="42"/>
      <c r="C930" s="42"/>
      <c r="D930" s="42"/>
      <c r="E930" s="42"/>
      <c r="F930" s="42"/>
      <c r="G930" s="42"/>
      <c r="H930" s="42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  <c r="AA930" s="57"/>
    </row>
    <row r="931">
      <c r="A931" s="42"/>
      <c r="B931" s="42"/>
      <c r="C931" s="42"/>
      <c r="D931" s="42"/>
      <c r="E931" s="42"/>
      <c r="F931" s="42"/>
      <c r="G931" s="42"/>
      <c r="H931" s="42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  <c r="AA931" s="57"/>
    </row>
    <row r="932">
      <c r="A932" s="42"/>
      <c r="B932" s="42"/>
      <c r="C932" s="42"/>
      <c r="D932" s="42"/>
      <c r="E932" s="42"/>
      <c r="F932" s="42"/>
      <c r="G932" s="42"/>
      <c r="H932" s="42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  <c r="AA932" s="57"/>
    </row>
    <row r="933">
      <c r="A933" s="42"/>
      <c r="B933" s="42"/>
      <c r="C933" s="42"/>
      <c r="D933" s="42"/>
      <c r="E933" s="42"/>
      <c r="F933" s="42"/>
      <c r="G933" s="42"/>
      <c r="H933" s="42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  <c r="AA933" s="57"/>
    </row>
    <row r="934">
      <c r="A934" s="42"/>
      <c r="B934" s="42"/>
      <c r="C934" s="42"/>
      <c r="D934" s="42"/>
      <c r="E934" s="42"/>
      <c r="F934" s="42"/>
      <c r="G934" s="42"/>
      <c r="H934" s="42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  <c r="AA934" s="57"/>
    </row>
    <row r="935">
      <c r="A935" s="42"/>
      <c r="B935" s="42"/>
      <c r="C935" s="42"/>
      <c r="D935" s="42"/>
      <c r="E935" s="42"/>
      <c r="F935" s="42"/>
      <c r="G935" s="42"/>
      <c r="H935" s="42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  <c r="AA935" s="57"/>
    </row>
    <row r="936">
      <c r="A936" s="42"/>
      <c r="B936" s="42"/>
      <c r="C936" s="42"/>
      <c r="D936" s="42"/>
      <c r="E936" s="42"/>
      <c r="F936" s="42"/>
      <c r="G936" s="42"/>
      <c r="H936" s="42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  <c r="AA936" s="57"/>
    </row>
    <row r="937">
      <c r="A937" s="42"/>
      <c r="B937" s="42"/>
      <c r="C937" s="42"/>
      <c r="D937" s="42"/>
      <c r="E937" s="42"/>
      <c r="F937" s="42"/>
      <c r="G937" s="42"/>
      <c r="H937" s="42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  <c r="AA937" s="57"/>
    </row>
    <row r="938">
      <c r="A938" s="42"/>
      <c r="B938" s="42"/>
      <c r="C938" s="42"/>
      <c r="D938" s="42"/>
      <c r="E938" s="42"/>
      <c r="F938" s="42"/>
      <c r="G938" s="42"/>
      <c r="H938" s="42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  <c r="AA938" s="57"/>
    </row>
    <row r="939">
      <c r="A939" s="42"/>
      <c r="B939" s="42"/>
      <c r="C939" s="42"/>
      <c r="D939" s="42"/>
      <c r="E939" s="42"/>
      <c r="F939" s="42"/>
      <c r="G939" s="42"/>
      <c r="H939" s="42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  <c r="AA939" s="57"/>
    </row>
    <row r="940">
      <c r="A940" s="42"/>
      <c r="B940" s="42"/>
      <c r="C940" s="42"/>
      <c r="D940" s="42"/>
      <c r="E940" s="42"/>
      <c r="F940" s="42"/>
      <c r="G940" s="42"/>
      <c r="H940" s="42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  <c r="AA940" s="57"/>
    </row>
    <row r="941">
      <c r="A941" s="42"/>
      <c r="B941" s="42"/>
      <c r="C941" s="42"/>
      <c r="D941" s="42"/>
      <c r="E941" s="42"/>
      <c r="F941" s="42"/>
      <c r="G941" s="42"/>
      <c r="H941" s="42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  <c r="AA941" s="57"/>
    </row>
    <row r="942">
      <c r="A942" s="42"/>
      <c r="B942" s="42"/>
      <c r="C942" s="42"/>
      <c r="D942" s="42"/>
      <c r="E942" s="42"/>
      <c r="F942" s="42"/>
      <c r="G942" s="42"/>
      <c r="H942" s="42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  <c r="AA942" s="57"/>
    </row>
    <row r="943">
      <c r="A943" s="42"/>
      <c r="B943" s="42"/>
      <c r="C943" s="42"/>
      <c r="D943" s="42"/>
      <c r="E943" s="42"/>
      <c r="F943" s="42"/>
      <c r="G943" s="42"/>
      <c r="H943" s="42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  <c r="AA943" s="57"/>
    </row>
    <row r="944">
      <c r="A944" s="42"/>
      <c r="B944" s="42"/>
      <c r="C944" s="42"/>
      <c r="D944" s="42"/>
      <c r="E944" s="42"/>
      <c r="F944" s="42"/>
      <c r="G944" s="42"/>
      <c r="H944" s="42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  <c r="AA944" s="57"/>
    </row>
    <row r="945">
      <c r="A945" s="42"/>
      <c r="B945" s="42"/>
      <c r="C945" s="42"/>
      <c r="D945" s="42"/>
      <c r="E945" s="42"/>
      <c r="F945" s="42"/>
      <c r="G945" s="42"/>
      <c r="H945" s="42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  <c r="AA945" s="57"/>
    </row>
    <row r="946">
      <c r="A946" s="42"/>
      <c r="B946" s="42"/>
      <c r="C946" s="42"/>
      <c r="D946" s="42"/>
      <c r="E946" s="42"/>
      <c r="F946" s="42"/>
      <c r="G946" s="42"/>
      <c r="H946" s="42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  <c r="AA946" s="57"/>
    </row>
    <row r="947">
      <c r="A947" s="42"/>
      <c r="B947" s="42"/>
      <c r="C947" s="42"/>
      <c r="D947" s="42"/>
      <c r="E947" s="42"/>
      <c r="F947" s="42"/>
      <c r="G947" s="42"/>
      <c r="H947" s="42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  <c r="AA947" s="57"/>
    </row>
    <row r="948">
      <c r="A948" s="42"/>
      <c r="B948" s="42"/>
      <c r="C948" s="42"/>
      <c r="D948" s="42"/>
      <c r="E948" s="42"/>
      <c r="F948" s="42"/>
      <c r="G948" s="42"/>
      <c r="H948" s="42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  <c r="AA948" s="57"/>
    </row>
    <row r="949">
      <c r="A949" s="42"/>
      <c r="B949" s="42"/>
      <c r="C949" s="42"/>
      <c r="D949" s="42"/>
      <c r="E949" s="42"/>
      <c r="F949" s="42"/>
      <c r="G949" s="42"/>
      <c r="H949" s="42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  <c r="AA949" s="57"/>
    </row>
    <row r="950">
      <c r="A950" s="42"/>
      <c r="B950" s="42"/>
      <c r="C950" s="42"/>
      <c r="D950" s="42"/>
      <c r="E950" s="42"/>
      <c r="F950" s="42"/>
      <c r="G950" s="42"/>
      <c r="H950" s="42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  <c r="AA950" s="57"/>
    </row>
    <row r="951">
      <c r="A951" s="42"/>
      <c r="B951" s="42"/>
      <c r="C951" s="42"/>
      <c r="D951" s="42"/>
      <c r="E951" s="42"/>
      <c r="F951" s="42"/>
      <c r="G951" s="42"/>
      <c r="H951" s="42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  <c r="AA951" s="57"/>
    </row>
    <row r="952">
      <c r="A952" s="42"/>
      <c r="B952" s="42"/>
      <c r="C952" s="42"/>
      <c r="D952" s="42"/>
      <c r="E952" s="42"/>
      <c r="F952" s="42"/>
      <c r="G952" s="42"/>
      <c r="H952" s="42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  <c r="AA952" s="57"/>
    </row>
    <row r="953">
      <c r="A953" s="42"/>
      <c r="B953" s="42"/>
      <c r="C953" s="42"/>
      <c r="D953" s="42"/>
      <c r="E953" s="42"/>
      <c r="F953" s="42"/>
      <c r="G953" s="42"/>
      <c r="H953" s="42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  <c r="AA953" s="57"/>
    </row>
    <row r="954">
      <c r="A954" s="42"/>
      <c r="B954" s="42"/>
      <c r="C954" s="42"/>
      <c r="D954" s="42"/>
      <c r="E954" s="42"/>
      <c r="F954" s="42"/>
      <c r="G954" s="42"/>
      <c r="H954" s="42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  <c r="AA954" s="57"/>
    </row>
    <row r="955">
      <c r="A955" s="42"/>
      <c r="B955" s="42"/>
      <c r="C955" s="42"/>
      <c r="D955" s="42"/>
      <c r="E955" s="42"/>
      <c r="F955" s="42"/>
      <c r="G955" s="42"/>
      <c r="H955" s="42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  <c r="AA955" s="57"/>
    </row>
    <row r="956">
      <c r="A956" s="42"/>
      <c r="B956" s="42"/>
      <c r="C956" s="42"/>
      <c r="D956" s="42"/>
      <c r="E956" s="42"/>
      <c r="F956" s="42"/>
      <c r="G956" s="42"/>
      <c r="H956" s="42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  <c r="AA956" s="57"/>
    </row>
    <row r="957">
      <c r="A957" s="42"/>
      <c r="B957" s="42"/>
      <c r="C957" s="42"/>
      <c r="D957" s="42"/>
      <c r="E957" s="42"/>
      <c r="F957" s="42"/>
      <c r="G957" s="42"/>
      <c r="H957" s="42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  <c r="AA957" s="57"/>
    </row>
    <row r="958">
      <c r="A958" s="42"/>
      <c r="B958" s="42"/>
      <c r="C958" s="42"/>
      <c r="D958" s="42"/>
      <c r="E958" s="42"/>
      <c r="F958" s="42"/>
      <c r="G958" s="42"/>
      <c r="H958" s="42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  <c r="AA958" s="57"/>
    </row>
    <row r="959">
      <c r="A959" s="42"/>
      <c r="B959" s="42"/>
      <c r="C959" s="42"/>
      <c r="D959" s="42"/>
      <c r="E959" s="42"/>
      <c r="F959" s="42"/>
      <c r="G959" s="42"/>
      <c r="H959" s="42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  <c r="AA959" s="57"/>
    </row>
    <row r="960">
      <c r="A960" s="42"/>
      <c r="B960" s="42"/>
      <c r="C960" s="42"/>
      <c r="D960" s="42"/>
      <c r="E960" s="42"/>
      <c r="F960" s="42"/>
      <c r="G960" s="42"/>
      <c r="H960" s="42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  <c r="AA960" s="57"/>
    </row>
    <row r="961">
      <c r="A961" s="42"/>
      <c r="B961" s="42"/>
      <c r="C961" s="42"/>
      <c r="D961" s="42"/>
      <c r="E961" s="42"/>
      <c r="F961" s="42"/>
      <c r="G961" s="42"/>
      <c r="H961" s="42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  <c r="AA961" s="57"/>
    </row>
    <row r="962">
      <c r="A962" s="42"/>
      <c r="B962" s="42"/>
      <c r="C962" s="42"/>
      <c r="D962" s="42"/>
      <c r="E962" s="42"/>
      <c r="F962" s="42"/>
      <c r="G962" s="42"/>
      <c r="H962" s="42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  <c r="AA962" s="57"/>
    </row>
    <row r="963">
      <c r="A963" s="42"/>
      <c r="B963" s="42"/>
      <c r="C963" s="42"/>
      <c r="D963" s="42"/>
      <c r="E963" s="42"/>
      <c r="F963" s="42"/>
      <c r="G963" s="42"/>
      <c r="H963" s="42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  <c r="AA963" s="57"/>
    </row>
    <row r="964">
      <c r="A964" s="42"/>
      <c r="B964" s="42"/>
      <c r="C964" s="42"/>
      <c r="D964" s="42"/>
      <c r="E964" s="42"/>
      <c r="F964" s="42"/>
      <c r="G964" s="42"/>
      <c r="H964" s="42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  <c r="AA964" s="57"/>
    </row>
    <row r="965">
      <c r="A965" s="42"/>
      <c r="B965" s="42"/>
      <c r="C965" s="42"/>
      <c r="D965" s="42"/>
      <c r="E965" s="42"/>
      <c r="F965" s="42"/>
      <c r="G965" s="42"/>
      <c r="H965" s="42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  <c r="AA965" s="57"/>
    </row>
    <row r="966">
      <c r="A966" s="42"/>
      <c r="B966" s="42"/>
      <c r="C966" s="42"/>
      <c r="D966" s="42"/>
      <c r="E966" s="42"/>
      <c r="F966" s="42"/>
      <c r="G966" s="42"/>
      <c r="H966" s="42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  <c r="AA966" s="57"/>
    </row>
    <row r="967">
      <c r="A967" s="42"/>
      <c r="B967" s="42"/>
      <c r="C967" s="42"/>
      <c r="D967" s="42"/>
      <c r="E967" s="42"/>
      <c r="F967" s="42"/>
      <c r="G967" s="42"/>
      <c r="H967" s="42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  <c r="AA967" s="57"/>
    </row>
    <row r="968">
      <c r="A968" s="42"/>
      <c r="B968" s="42"/>
      <c r="C968" s="42"/>
      <c r="D968" s="42"/>
      <c r="E968" s="42"/>
      <c r="F968" s="42"/>
      <c r="G968" s="42"/>
      <c r="H968" s="42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  <c r="AA968" s="57"/>
    </row>
    <row r="969">
      <c r="A969" s="42"/>
      <c r="B969" s="42"/>
      <c r="C969" s="42"/>
      <c r="D969" s="42"/>
      <c r="E969" s="42"/>
      <c r="F969" s="42"/>
      <c r="G969" s="42"/>
      <c r="H969" s="42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  <c r="AA969" s="57"/>
    </row>
    <row r="970">
      <c r="A970" s="42"/>
      <c r="B970" s="42"/>
      <c r="C970" s="42"/>
      <c r="D970" s="42"/>
      <c r="E970" s="42"/>
      <c r="F970" s="42"/>
      <c r="G970" s="42"/>
      <c r="H970" s="42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  <c r="AA970" s="57"/>
    </row>
    <row r="971">
      <c r="A971" s="42"/>
      <c r="B971" s="42"/>
      <c r="C971" s="42"/>
      <c r="D971" s="42"/>
      <c r="E971" s="42"/>
      <c r="F971" s="42"/>
      <c r="G971" s="42"/>
      <c r="H971" s="42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  <c r="AA971" s="57"/>
    </row>
    <row r="972">
      <c r="A972" s="42"/>
      <c r="B972" s="42"/>
      <c r="C972" s="42"/>
      <c r="D972" s="42"/>
      <c r="E972" s="42"/>
      <c r="F972" s="42"/>
      <c r="G972" s="42"/>
      <c r="H972" s="42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  <c r="AA972" s="57"/>
    </row>
    <row r="973">
      <c r="A973" s="42"/>
      <c r="B973" s="42"/>
      <c r="C973" s="42"/>
      <c r="D973" s="42"/>
      <c r="E973" s="42"/>
      <c r="F973" s="42"/>
      <c r="G973" s="42"/>
      <c r="H973" s="42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  <c r="AA973" s="57"/>
    </row>
    <row r="974">
      <c r="A974" s="42"/>
      <c r="B974" s="42"/>
      <c r="C974" s="42"/>
      <c r="D974" s="42"/>
      <c r="E974" s="42"/>
      <c r="F974" s="42"/>
      <c r="G974" s="42"/>
      <c r="H974" s="42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  <c r="AA974" s="57"/>
    </row>
    <row r="975">
      <c r="A975" s="42"/>
      <c r="B975" s="42"/>
      <c r="C975" s="42"/>
      <c r="D975" s="42"/>
      <c r="E975" s="42"/>
      <c r="F975" s="42"/>
      <c r="G975" s="42"/>
      <c r="H975" s="42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  <c r="AA975" s="57"/>
    </row>
    <row r="976">
      <c r="A976" s="42"/>
      <c r="B976" s="42"/>
      <c r="C976" s="42"/>
      <c r="D976" s="42"/>
      <c r="E976" s="42"/>
      <c r="F976" s="42"/>
      <c r="G976" s="42"/>
      <c r="H976" s="42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  <c r="AA976" s="57"/>
    </row>
    <row r="977">
      <c r="A977" s="42"/>
      <c r="B977" s="42"/>
      <c r="C977" s="42"/>
      <c r="D977" s="42"/>
      <c r="E977" s="42"/>
      <c r="F977" s="42"/>
      <c r="G977" s="42"/>
      <c r="H977" s="42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  <c r="AA977" s="57"/>
    </row>
    <row r="978">
      <c r="A978" s="42"/>
      <c r="B978" s="42"/>
      <c r="C978" s="42"/>
      <c r="D978" s="42"/>
      <c r="E978" s="42"/>
      <c r="F978" s="42"/>
      <c r="G978" s="42"/>
      <c r="H978" s="42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  <c r="AA978" s="57"/>
    </row>
    <row r="979">
      <c r="A979" s="42"/>
      <c r="B979" s="42"/>
      <c r="C979" s="42"/>
      <c r="D979" s="42"/>
      <c r="E979" s="42"/>
      <c r="F979" s="42"/>
      <c r="G979" s="42"/>
      <c r="H979" s="42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  <c r="AA979" s="57"/>
    </row>
    <row r="980">
      <c r="A980" s="42"/>
      <c r="B980" s="42"/>
      <c r="C980" s="42"/>
      <c r="D980" s="42"/>
      <c r="E980" s="42"/>
      <c r="F980" s="42"/>
      <c r="G980" s="42"/>
      <c r="H980" s="42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  <c r="AA980" s="57"/>
    </row>
    <row r="981">
      <c r="A981" s="42"/>
      <c r="B981" s="42"/>
      <c r="C981" s="42"/>
      <c r="D981" s="42"/>
      <c r="E981" s="42"/>
      <c r="F981" s="42"/>
      <c r="G981" s="42"/>
      <c r="H981" s="42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  <c r="AA981" s="57"/>
    </row>
    <row r="982">
      <c r="A982" s="42"/>
      <c r="B982" s="42"/>
      <c r="C982" s="42"/>
      <c r="D982" s="42"/>
      <c r="E982" s="42"/>
      <c r="F982" s="42"/>
      <c r="G982" s="42"/>
      <c r="H982" s="42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  <c r="AA982" s="57"/>
    </row>
    <row r="983">
      <c r="A983" s="42"/>
      <c r="B983" s="42"/>
      <c r="C983" s="42"/>
      <c r="D983" s="42"/>
      <c r="E983" s="42"/>
      <c r="F983" s="42"/>
      <c r="G983" s="42"/>
      <c r="H983" s="42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  <c r="AA983" s="57"/>
    </row>
    <row r="984">
      <c r="A984" s="42"/>
      <c r="B984" s="42"/>
      <c r="C984" s="42"/>
      <c r="D984" s="42"/>
      <c r="E984" s="42"/>
      <c r="F984" s="42"/>
      <c r="G984" s="42"/>
      <c r="H984" s="42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  <c r="AA984" s="57"/>
    </row>
    <row r="985">
      <c r="A985" s="42"/>
      <c r="B985" s="42"/>
      <c r="C985" s="42"/>
      <c r="D985" s="42"/>
      <c r="E985" s="42"/>
      <c r="F985" s="42"/>
      <c r="G985" s="42"/>
      <c r="H985" s="42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  <c r="AA985" s="57"/>
    </row>
    <row r="986">
      <c r="A986" s="42"/>
      <c r="B986" s="42"/>
      <c r="C986" s="42"/>
      <c r="D986" s="42"/>
      <c r="E986" s="42"/>
      <c r="F986" s="42"/>
      <c r="G986" s="42"/>
      <c r="H986" s="42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  <c r="AA986" s="57"/>
    </row>
    <row r="987">
      <c r="A987" s="42"/>
      <c r="B987" s="42"/>
      <c r="C987" s="42"/>
      <c r="D987" s="42"/>
      <c r="E987" s="42"/>
      <c r="F987" s="42"/>
      <c r="G987" s="42"/>
      <c r="H987" s="42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  <c r="AA987" s="57"/>
    </row>
    <row r="988">
      <c r="A988" s="42"/>
      <c r="B988" s="42"/>
      <c r="C988" s="42"/>
      <c r="D988" s="42"/>
      <c r="E988" s="42"/>
      <c r="F988" s="42"/>
      <c r="G988" s="42"/>
      <c r="H988" s="42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  <c r="AA988" s="57"/>
    </row>
    <row r="989">
      <c r="A989" s="42"/>
      <c r="B989" s="42"/>
      <c r="C989" s="42"/>
      <c r="D989" s="42"/>
      <c r="E989" s="42"/>
      <c r="F989" s="42"/>
      <c r="G989" s="42"/>
      <c r="H989" s="42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  <c r="AA989" s="57"/>
    </row>
    <row r="990">
      <c r="A990" s="42"/>
      <c r="B990" s="42"/>
      <c r="C990" s="42"/>
      <c r="D990" s="42"/>
      <c r="E990" s="42"/>
      <c r="F990" s="42"/>
      <c r="G990" s="42"/>
      <c r="H990" s="42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  <c r="AA990" s="57"/>
    </row>
    <row r="991">
      <c r="A991" s="42"/>
      <c r="B991" s="42"/>
      <c r="C991" s="42"/>
      <c r="D991" s="42"/>
      <c r="E991" s="42"/>
      <c r="F991" s="42"/>
      <c r="G991" s="42"/>
      <c r="H991" s="42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  <c r="AA991" s="57"/>
    </row>
    <row r="992">
      <c r="A992" s="42"/>
      <c r="B992" s="42"/>
      <c r="C992" s="42"/>
      <c r="D992" s="42"/>
      <c r="E992" s="42"/>
      <c r="F992" s="42"/>
      <c r="G992" s="42"/>
      <c r="H992" s="42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  <c r="AA992" s="57"/>
    </row>
    <row r="993">
      <c r="A993" s="42"/>
      <c r="B993" s="42"/>
      <c r="C993" s="42"/>
      <c r="D993" s="42"/>
      <c r="E993" s="42"/>
      <c r="F993" s="42"/>
      <c r="G993" s="42"/>
      <c r="H993" s="42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  <c r="AA993" s="57"/>
    </row>
    <row r="994">
      <c r="A994" s="42"/>
      <c r="B994" s="42"/>
      <c r="C994" s="42"/>
      <c r="D994" s="42"/>
      <c r="E994" s="42"/>
      <c r="F994" s="42"/>
      <c r="G994" s="42"/>
      <c r="H994" s="42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  <c r="AA994" s="57"/>
    </row>
    <row r="995">
      <c r="A995" s="42"/>
      <c r="B995" s="42"/>
      <c r="C995" s="42"/>
      <c r="D995" s="42"/>
      <c r="E995" s="42"/>
      <c r="F995" s="42"/>
      <c r="G995" s="42"/>
      <c r="H995" s="42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  <c r="AA995" s="5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4" max="4" width="16.25"/>
  </cols>
  <sheetData>
    <row r="1">
      <c r="A1" s="60" t="s">
        <v>762</v>
      </c>
      <c r="B1" s="60" t="s">
        <v>763</v>
      </c>
      <c r="C1" s="60" t="s">
        <v>764</v>
      </c>
      <c r="D1" s="60" t="s">
        <v>765</v>
      </c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>
      <c r="A2" s="62" t="s">
        <v>766</v>
      </c>
      <c r="B2" s="63" t="s">
        <v>767</v>
      </c>
      <c r="C2" s="63" t="s">
        <v>768</v>
      </c>
      <c r="D2" s="63" t="s">
        <v>769</v>
      </c>
    </row>
    <row r="3">
      <c r="A3" s="62" t="s">
        <v>770</v>
      </c>
      <c r="B3" s="63" t="s">
        <v>771</v>
      </c>
      <c r="C3" s="63" t="s">
        <v>772</v>
      </c>
      <c r="D3" s="63" t="s">
        <v>773</v>
      </c>
    </row>
    <row r="4">
      <c r="A4" s="62" t="s">
        <v>774</v>
      </c>
      <c r="B4" s="63" t="s">
        <v>775</v>
      </c>
      <c r="C4" s="63" t="s">
        <v>776</v>
      </c>
      <c r="D4" s="63" t="s">
        <v>777</v>
      </c>
    </row>
    <row r="5">
      <c r="A5" s="62" t="s">
        <v>778</v>
      </c>
      <c r="B5" s="63" t="s">
        <v>779</v>
      </c>
      <c r="C5" s="63" t="s">
        <v>780</v>
      </c>
      <c r="D5" s="63" t="s">
        <v>781</v>
      </c>
    </row>
    <row r="6">
      <c r="A6" s="64" t="s">
        <v>782</v>
      </c>
      <c r="B6" s="65" t="s">
        <v>783</v>
      </c>
      <c r="C6" s="65" t="s">
        <v>768</v>
      </c>
      <c r="D6" s="65" t="s">
        <v>784</v>
      </c>
    </row>
    <row r="7">
      <c r="A7" s="66" t="s">
        <v>785</v>
      </c>
      <c r="B7" s="67" t="s">
        <v>786</v>
      </c>
      <c r="C7" s="67" t="s">
        <v>787</v>
      </c>
      <c r="D7" s="67" t="s">
        <v>788</v>
      </c>
    </row>
    <row r="8">
      <c r="A8" s="64" t="s">
        <v>789</v>
      </c>
      <c r="B8" s="65" t="s">
        <v>790</v>
      </c>
      <c r="C8" s="65" t="s">
        <v>791</v>
      </c>
      <c r="D8" s="65" t="s">
        <v>792</v>
      </c>
    </row>
    <row r="9">
      <c r="A9" s="66" t="s">
        <v>793</v>
      </c>
      <c r="B9" s="67" t="s">
        <v>794</v>
      </c>
      <c r="C9" s="67" t="s">
        <v>791</v>
      </c>
      <c r="D9" s="67" t="s">
        <v>795</v>
      </c>
    </row>
    <row r="10">
      <c r="A10" s="64" t="s">
        <v>796</v>
      </c>
      <c r="B10" s="65" t="s">
        <v>797</v>
      </c>
      <c r="C10" s="65" t="s">
        <v>772</v>
      </c>
      <c r="D10" s="65" t="s">
        <v>798</v>
      </c>
    </row>
    <row r="11">
      <c r="A11" s="66" t="s">
        <v>799</v>
      </c>
      <c r="B11" s="67" t="s">
        <v>800</v>
      </c>
      <c r="C11" s="67" t="s">
        <v>772</v>
      </c>
      <c r="D11" s="67" t="s">
        <v>801</v>
      </c>
    </row>
  </sheetData>
  <drawing r:id="rId1"/>
</worksheet>
</file>